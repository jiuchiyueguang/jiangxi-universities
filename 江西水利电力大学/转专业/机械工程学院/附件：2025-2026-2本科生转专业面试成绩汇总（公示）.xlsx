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机制" sheetId="20" r:id="rId1"/>
  </sheets>
  <definedNames>
    <definedName name="_xlnm._FilterDatabase" localSheetId="0" hidden="1">机制!$A$1:$P$47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<sst xmlns="http://schemas.openxmlformats.org/spreadsheetml/2006/main" count="665" uniqueCount="145">
  <si>
    <t>2025-2026-2学期本科生转专业面试成绩汇总表</t>
  </si>
  <si>
    <t>序号</t>
  </si>
  <si>
    <t>姓名</t>
  </si>
  <si>
    <t>学号</t>
  </si>
  <si>
    <t>性别</t>
  </si>
  <si>
    <t>现所在学院</t>
  </si>
  <si>
    <t>现所在专业班级</t>
  </si>
  <si>
    <t>高考考试模式</t>
  </si>
  <si>
    <t>首选科目或文理科</t>
  </si>
  <si>
    <t>再选科目或一本二本</t>
  </si>
  <si>
    <t>申请转入学院</t>
  </si>
  <si>
    <t>申请转入专业</t>
  </si>
  <si>
    <t>基本条件赋分
（50分）</t>
  </si>
  <si>
    <t>综合素质面试赋分（50分）</t>
  </si>
  <si>
    <t>接收学院考核结果</t>
  </si>
  <si>
    <t>接收学院
意见</t>
  </si>
  <si>
    <t>最终成绩</t>
  </si>
  <si>
    <t>排名</t>
  </si>
  <si>
    <t>周晨</t>
  </si>
  <si>
    <t>女</t>
  </si>
  <si>
    <t>理学院</t>
  </si>
  <si>
    <t>25应用统计学02班</t>
  </si>
  <si>
    <t>综合改革模式</t>
  </si>
  <si>
    <t>物理</t>
  </si>
  <si>
    <t>化学、生物</t>
  </si>
  <si>
    <t>机械工程学院</t>
  </si>
  <si>
    <t>机械设计制造及其自动化</t>
  </si>
  <si>
    <t>拟录取</t>
  </si>
  <si>
    <t>殷榆明</t>
  </si>
  <si>
    <t>水利工程学院</t>
  </si>
  <si>
    <t>25水利水电工程03班</t>
  </si>
  <si>
    <t>牛鹏宇</t>
  </si>
  <si>
    <t>男</t>
  </si>
  <si>
    <t>土木与建筑工程学院</t>
  </si>
  <si>
    <t>25土木工程01班</t>
  </si>
  <si>
    <t>刘籼旺</t>
  </si>
  <si>
    <t>张晨曦</t>
  </si>
  <si>
    <t>25给排水科学与工程02班</t>
  </si>
  <si>
    <t>化学、地理</t>
  </si>
  <si>
    <t>徐世翔</t>
  </si>
  <si>
    <t>25智能建造02班</t>
  </si>
  <si>
    <t>张宇乐</t>
  </si>
  <si>
    <t>25道路桥梁与渡河工程01班</t>
  </si>
  <si>
    <t>甘可雨</t>
  </si>
  <si>
    <t>25智能建造01班</t>
  </si>
  <si>
    <t>曾志鹏</t>
  </si>
  <si>
    <t>孙皓轩</t>
  </si>
  <si>
    <t>化学、政治</t>
  </si>
  <si>
    <t>黄贻涛</t>
  </si>
  <si>
    <t>25给排水科学与工程00班</t>
  </si>
  <si>
    <t>赵一龙</t>
  </si>
  <si>
    <t>25土木工程02班</t>
  </si>
  <si>
    <t>张楠</t>
  </si>
  <si>
    <t>侯英杰</t>
  </si>
  <si>
    <t>水土保持学院</t>
  </si>
  <si>
    <t>25水土保持与荒漠化防治02班</t>
  </si>
  <si>
    <t>陈龙豪</t>
  </si>
  <si>
    <t>徐文浩</t>
  </si>
  <si>
    <t>25水文与水资源工程02班</t>
  </si>
  <si>
    <t>郭春妮</t>
  </si>
  <si>
    <t>25香料香精技术与工程01班</t>
  </si>
  <si>
    <t>王嘉澳</t>
  </si>
  <si>
    <t>25测绘工程02班</t>
  </si>
  <si>
    <t>黄子璇</t>
  </si>
  <si>
    <t>25园林02班</t>
  </si>
  <si>
    <t>肖龙翔</t>
  </si>
  <si>
    <t>张红飞</t>
  </si>
  <si>
    <t>胡家宝</t>
  </si>
  <si>
    <t>张心源</t>
  </si>
  <si>
    <t>凌聪</t>
  </si>
  <si>
    <t>朱有为</t>
  </si>
  <si>
    <t>经济贸易学院</t>
  </si>
  <si>
    <t>25国际经济与贸易02班</t>
  </si>
  <si>
    <t>陈志兴</t>
  </si>
  <si>
    <t>25国际经济与贸易01班</t>
  </si>
  <si>
    <t>李晨曦</t>
  </si>
  <si>
    <t>25应用统计学01班</t>
  </si>
  <si>
    <t>邱智宇</t>
  </si>
  <si>
    <t>25道路桥梁与渡河工程01</t>
  </si>
  <si>
    <t>王若麟</t>
  </si>
  <si>
    <t>25农业水利工程02班</t>
  </si>
  <si>
    <t>邓见强</t>
  </si>
  <si>
    <t>25水土保持与荒漠化防治01班</t>
  </si>
  <si>
    <t>徐纬骏</t>
  </si>
  <si>
    <t>孟宪浩然</t>
  </si>
  <si>
    <t>25水利水电工程02班</t>
  </si>
  <si>
    <t>朱俊杰</t>
  </si>
  <si>
    <t>赵得玺</t>
  </si>
  <si>
    <t>孔德乐</t>
  </si>
  <si>
    <t>黄博韬</t>
  </si>
  <si>
    <t>柳彦斌</t>
  </si>
  <si>
    <t>25工业工程02班</t>
  </si>
  <si>
    <t>吴豆宁</t>
  </si>
  <si>
    <t>江海涛</t>
  </si>
  <si>
    <t>蒋隆熙</t>
  </si>
  <si>
    <t>董世尧</t>
  </si>
  <si>
    <t>熊家俊</t>
  </si>
  <si>
    <t>外国语学院</t>
  </si>
  <si>
    <t>25英语01班</t>
  </si>
  <si>
    <t>魏强</t>
  </si>
  <si>
    <t>25给排水科学与工程01班</t>
  </si>
  <si>
    <t>周宏宇</t>
  </si>
  <si>
    <t>缺</t>
  </si>
  <si>
    <t>熊思梦</t>
  </si>
  <si>
    <t>24工业工程02班</t>
  </si>
  <si>
    <t>何子聪</t>
  </si>
  <si>
    <t>24道路桥梁与渡河工程02班</t>
  </si>
  <si>
    <t>张营业</t>
  </si>
  <si>
    <t>24测绘工程01班</t>
  </si>
  <si>
    <t>何宇昊</t>
  </si>
  <si>
    <t>24土木工程02班</t>
  </si>
  <si>
    <t>廖铭洁</t>
  </si>
  <si>
    <t>25农业水利工程01班</t>
  </si>
  <si>
    <t>机器人工程</t>
  </si>
  <si>
    <t>王盛宇</t>
  </si>
  <si>
    <t>颜伟立</t>
  </si>
  <si>
    <t>邵棋棋</t>
  </si>
  <si>
    <t>25工程造价01班</t>
  </si>
  <si>
    <t>扶美柔</t>
  </si>
  <si>
    <t>25城乡规划(五年制)01班</t>
  </si>
  <si>
    <t>简子文</t>
  </si>
  <si>
    <t>刘慧芝</t>
  </si>
  <si>
    <t>张韩</t>
  </si>
  <si>
    <t>24级城乡规划(五年制)01班</t>
  </si>
  <si>
    <t>非综合改革模式</t>
  </si>
  <si>
    <t>理科</t>
  </si>
  <si>
    <t>二本</t>
  </si>
  <si>
    <t>刘清远</t>
  </si>
  <si>
    <t>24给排水科学与工程01班</t>
  </si>
  <si>
    <t>杨诗雨</t>
  </si>
  <si>
    <t>张锦宏</t>
  </si>
  <si>
    <t>25水文与水资源工程03班</t>
  </si>
  <si>
    <t>工业工程</t>
  </si>
  <si>
    <t>赖佑龙</t>
  </si>
  <si>
    <t>生物、地理</t>
  </si>
  <si>
    <t>杨鑫宇</t>
  </si>
  <si>
    <t>谢增俊</t>
  </si>
  <si>
    <t>25园林01班</t>
  </si>
  <si>
    <t>郑志炜</t>
  </si>
  <si>
    <t>潘洪洋</t>
  </si>
  <si>
    <t>政治、地理</t>
  </si>
  <si>
    <t>王翔</t>
  </si>
  <si>
    <t>许锐</t>
  </si>
  <si>
    <t>王思涵</t>
  </si>
  <si>
    <t>陈欣鼎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</si>
</sst>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name val="宋体"/>
      <charset val="134"/>
    </font>
    <font>
      <sz val="12"/>
      <color rgb="FFFF0000"/>
      <name val="宋体"/>
      <charset val="134"/>
    </font>
    <font>
      <b/>
      <sz val="72"/>
      <name val="黑体"/>
      <charset val="134"/>
    </font>
    <font>
      <b/>
      <sz val="72"/>
      <color rgb="FFFF0000"/>
      <name val="黑体"/>
      <charset val="134"/>
    </font>
    <font>
      <b/>
      <sz val="38"/>
      <name val="宋体"/>
      <charset val="134"/>
    </font>
    <font>
      <sz val="36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0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0" fillId="0" borderId="0" xfId="0" applyFont="1" applyFill="1"/>
    <xf numFmtId="0" fontId="0" fillId="0" borderId="0" xfId="0" applyFont="1" applyFill="1"/>
    <xf numFmtId="0" fontId="1" fillId="0" borderId="0" xfId="0" applyFont="1"/>
    <xf numFmtId="0" fontId="0" fillId="0" borderId="0" xfId="0" applyFo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EF2E9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75"/>
  <sheetViews>
    <sheetView tabSelected="1" zoomScale="27" zoomScaleNormal="27" topLeftCell="A33" workbookViewId="0">
      <selection activeCell="X4" sqref="X4"/>
    </sheetView>
  </sheetViews>
  <sheetFormatPr defaultColWidth="9" defaultRowHeight="15"/>
  <cols>
    <col min="1" max="1" width="13.5833333333333" customWidth="1"/>
    <col min="2" max="2" width="28.0833333333333" style="5" customWidth="1"/>
    <col min="3" max="3" width="37.65" customWidth="1"/>
    <col min="4" max="4" width="18.3333333333333" customWidth="1"/>
    <col min="5" max="5" width="59" customWidth="1"/>
    <col min="6" max="6" width="77.15" style="5" customWidth="1"/>
    <col min="7" max="7" width="41.35" customWidth="1"/>
    <col min="8" max="8" width="20" customWidth="1"/>
    <col min="9" max="9" width="39.5083333333333" customWidth="1"/>
    <col min="10" max="10" width="45.9833333333333" customWidth="1"/>
    <col min="11" max="11" width="75.9166666666667" style="5" customWidth="1"/>
    <col min="12" max="12" width="30.1833333333333" style="6" customWidth="1"/>
    <col min="13" max="13" width="31.4833333333333" customWidth="1"/>
    <col min="14" max="14" width="20.0583333333333" customWidth="1"/>
    <col min="15" max="15" width="18.6666666666667" customWidth="1"/>
    <col min="16" max="16" width="23.15" customWidth="1"/>
  </cols>
  <sheetData>
    <row r="1" ht="91.5" spans="1:16">
      <c r="A1" s="7" t="s">
        <v>0</v>
      </c>
      <c r="B1" s="8"/>
      <c r="C1" s="9"/>
      <c r="D1" s="7"/>
      <c r="E1" s="7"/>
      <c r="F1" s="10"/>
      <c r="G1" s="7"/>
      <c r="H1" s="7"/>
      <c r="I1" s="7"/>
      <c r="J1" s="7"/>
      <c r="K1" s="10"/>
      <c r="L1" s="7"/>
      <c r="M1" s="7"/>
      <c r="N1" s="7"/>
      <c r="O1" s="7"/>
      <c r="P1" s="7"/>
    </row>
    <row r="2" s="1" customFormat="1" ht="138" customHeight="1" spans="1:16">
      <c r="A2" s="11" t="s">
        <v>1</v>
      </c>
      <c r="B2" s="12" t="s">
        <v>2</v>
      </c>
      <c r="C2" s="11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10</v>
      </c>
      <c r="K2" s="12" t="s">
        <v>11</v>
      </c>
      <c r="L2" s="12" t="s">
        <v>12</v>
      </c>
      <c r="M2" s="12" t="s">
        <v>13</v>
      </c>
      <c r="N2" s="12" t="s">
        <v>14</v>
      </c>
      <c r="O2" s="12"/>
      <c r="P2" s="12" t="s">
        <v>15</v>
      </c>
    </row>
    <row r="3" s="1" customFormat="1" ht="133" customHeight="1" spans="1:16">
      <c r="A3" s="11"/>
      <c r="B3" s="12"/>
      <c r="C3" s="11"/>
      <c r="D3" s="12"/>
      <c r="E3" s="12"/>
      <c r="F3" s="12"/>
      <c r="G3" s="12"/>
      <c r="H3" s="12"/>
      <c r="I3" s="12"/>
      <c r="J3" s="12"/>
      <c r="K3" s="12"/>
      <c r="L3" s="12"/>
      <c r="M3" s="12"/>
      <c r="N3" s="12" t="s">
        <v>16</v>
      </c>
      <c r="O3" s="12" t="s">
        <v>17</v>
      </c>
      <c r="P3" s="12"/>
    </row>
    <row r="4" s="2" customFormat="1" ht="70" customHeight="1" spans="1:16">
      <c r="A4" s="13">
        <v>1</v>
      </c>
      <c r="B4" s="13" t="s">
        <v>18</v>
      </c>
      <c r="C4" s="13">
        <v>2025104012</v>
      </c>
      <c r="D4" s="13" t="s">
        <v>19</v>
      </c>
      <c r="E4" s="13" t="s">
        <v>20</v>
      </c>
      <c r="F4" s="14" t="s">
        <v>21</v>
      </c>
      <c r="G4" s="14" t="s">
        <v>22</v>
      </c>
      <c r="H4" s="13" t="s">
        <v>23</v>
      </c>
      <c r="I4" s="13" t="s">
        <v>24</v>
      </c>
      <c r="J4" s="14" t="s">
        <v>25</v>
      </c>
      <c r="K4" s="14" t="s">
        <v>26</v>
      </c>
      <c r="L4" s="13">
        <v>47.6</v>
      </c>
      <c r="M4" s="13">
        <v>44.75</v>
      </c>
      <c r="N4" s="13">
        <f>SUM(L4,M4)</f>
        <v>92.35</v>
      </c>
      <c r="O4" s="13">
        <v>1</v>
      </c>
      <c r="P4" s="13" t="s">
        <v>27</v>
      </c>
    </row>
    <row r="5" s="2" customFormat="1" ht="70" customHeight="1" spans="1:16">
      <c r="A5" s="13">
        <v>2</v>
      </c>
      <c r="B5" s="13" t="s">
        <v>28</v>
      </c>
      <c r="C5" s="13">
        <v>2025100156</v>
      </c>
      <c r="D5" s="13" t="s">
        <v>19</v>
      </c>
      <c r="E5" s="13" t="s">
        <v>29</v>
      </c>
      <c r="F5" s="13" t="s">
        <v>30</v>
      </c>
      <c r="G5" s="14" t="s">
        <v>22</v>
      </c>
      <c r="H5" s="13" t="s">
        <v>23</v>
      </c>
      <c r="I5" s="13" t="s">
        <v>24</v>
      </c>
      <c r="J5" s="14" t="s">
        <v>25</v>
      </c>
      <c r="K5" s="13" t="s">
        <v>26</v>
      </c>
      <c r="L5" s="13">
        <v>45.6</v>
      </c>
      <c r="M5" s="13">
        <v>46</v>
      </c>
      <c r="N5" s="13">
        <f>SUM(L5,M5)</f>
        <v>91.6</v>
      </c>
      <c r="O5" s="13">
        <v>2</v>
      </c>
      <c r="P5" s="13" t="s">
        <v>27</v>
      </c>
    </row>
    <row r="6" s="2" customFormat="1" ht="70" customHeight="1" spans="1:16">
      <c r="A6" s="13">
        <v>3</v>
      </c>
      <c r="B6" s="13" t="s">
        <v>31</v>
      </c>
      <c r="C6" s="13">
        <v>2025100848</v>
      </c>
      <c r="D6" s="13" t="s">
        <v>32</v>
      </c>
      <c r="E6" s="13" t="s">
        <v>33</v>
      </c>
      <c r="F6" s="13" t="s">
        <v>34</v>
      </c>
      <c r="G6" s="14" t="s">
        <v>22</v>
      </c>
      <c r="H6" s="13" t="s">
        <v>23</v>
      </c>
      <c r="I6" s="13" t="s">
        <v>24</v>
      </c>
      <c r="J6" s="14" t="s">
        <v>25</v>
      </c>
      <c r="K6" s="13" t="s">
        <v>26</v>
      </c>
      <c r="L6" s="13">
        <v>46.8</v>
      </c>
      <c r="M6" s="13">
        <v>44</v>
      </c>
      <c r="N6" s="13">
        <f>SUM(L6,M6)</f>
        <v>90.8</v>
      </c>
      <c r="O6" s="13">
        <v>3</v>
      </c>
      <c r="P6" s="13" t="s">
        <v>27</v>
      </c>
    </row>
    <row r="7" s="2" customFormat="1" ht="70" customHeight="1" spans="1:16">
      <c r="A7" s="13">
        <v>4</v>
      </c>
      <c r="B7" s="13" t="s">
        <v>35</v>
      </c>
      <c r="C7" s="13">
        <v>2025100847</v>
      </c>
      <c r="D7" s="13" t="s">
        <v>32</v>
      </c>
      <c r="E7" s="13" t="s">
        <v>33</v>
      </c>
      <c r="F7" s="13" t="s">
        <v>34</v>
      </c>
      <c r="G7" s="14" t="s">
        <v>22</v>
      </c>
      <c r="H7" s="13" t="s">
        <v>23</v>
      </c>
      <c r="I7" s="13" t="s">
        <v>24</v>
      </c>
      <c r="J7" s="14" t="s">
        <v>25</v>
      </c>
      <c r="K7" s="13" t="s">
        <v>26</v>
      </c>
      <c r="L7" s="13">
        <v>42.8</v>
      </c>
      <c r="M7" s="13">
        <v>45.75</v>
      </c>
      <c r="N7" s="13">
        <f t="shared" ref="N7:N50" si="0">SUM(L7,M7)</f>
        <v>88.55</v>
      </c>
      <c r="O7" s="13">
        <v>4</v>
      </c>
      <c r="P7" s="13" t="s">
        <v>27</v>
      </c>
    </row>
    <row r="8" s="2" customFormat="1" ht="70" customHeight="1" spans="1:16">
      <c r="A8" s="13">
        <v>5</v>
      </c>
      <c r="B8" s="13" t="s">
        <v>36</v>
      </c>
      <c r="C8" s="13">
        <v>2025101001</v>
      </c>
      <c r="D8" s="13" t="s">
        <v>32</v>
      </c>
      <c r="E8" s="13" t="s">
        <v>33</v>
      </c>
      <c r="F8" s="13" t="s">
        <v>37</v>
      </c>
      <c r="G8" s="14" t="s">
        <v>22</v>
      </c>
      <c r="H8" s="13" t="s">
        <v>23</v>
      </c>
      <c r="I8" s="13" t="s">
        <v>38</v>
      </c>
      <c r="J8" s="14" t="s">
        <v>25</v>
      </c>
      <c r="K8" s="13" t="s">
        <v>26</v>
      </c>
      <c r="L8" s="13">
        <v>41.8</v>
      </c>
      <c r="M8" s="13">
        <v>45.75</v>
      </c>
      <c r="N8" s="13">
        <f t="shared" si="0"/>
        <v>87.55</v>
      </c>
      <c r="O8" s="13">
        <v>5</v>
      </c>
      <c r="P8" s="13" t="s">
        <v>27</v>
      </c>
    </row>
    <row r="9" s="2" customFormat="1" ht="70" customHeight="1" spans="1:16">
      <c r="A9" s="13">
        <v>6</v>
      </c>
      <c r="B9" s="13" t="s">
        <v>39</v>
      </c>
      <c r="C9" s="13">
        <v>2025101095</v>
      </c>
      <c r="D9" s="13" t="s">
        <v>32</v>
      </c>
      <c r="E9" s="13" t="s">
        <v>33</v>
      </c>
      <c r="F9" s="13" t="s">
        <v>40</v>
      </c>
      <c r="G9" s="14" t="s">
        <v>22</v>
      </c>
      <c r="H9" s="13" t="s">
        <v>23</v>
      </c>
      <c r="I9" s="13" t="s">
        <v>24</v>
      </c>
      <c r="J9" s="14" t="s">
        <v>25</v>
      </c>
      <c r="K9" s="13" t="s">
        <v>26</v>
      </c>
      <c r="L9" s="13">
        <v>41.6</v>
      </c>
      <c r="M9" s="13">
        <v>45</v>
      </c>
      <c r="N9" s="13">
        <f t="shared" si="0"/>
        <v>86.6</v>
      </c>
      <c r="O9" s="13">
        <v>6</v>
      </c>
      <c r="P9" s="13" t="s">
        <v>27</v>
      </c>
    </row>
    <row r="10" s="2" customFormat="1" ht="70" customHeight="1" spans="1:16">
      <c r="A10" s="13">
        <v>7</v>
      </c>
      <c r="B10" s="13" t="s">
        <v>41</v>
      </c>
      <c r="C10" s="13">
        <v>2025100945</v>
      </c>
      <c r="D10" s="13" t="s">
        <v>32</v>
      </c>
      <c r="E10" s="13" t="s">
        <v>33</v>
      </c>
      <c r="F10" s="13" t="s">
        <v>42</v>
      </c>
      <c r="G10" s="14" t="s">
        <v>22</v>
      </c>
      <c r="H10" s="13" t="s">
        <v>23</v>
      </c>
      <c r="I10" s="13" t="s">
        <v>24</v>
      </c>
      <c r="J10" s="14" t="s">
        <v>25</v>
      </c>
      <c r="K10" s="13" t="s">
        <v>26</v>
      </c>
      <c r="L10" s="13">
        <v>40.2</v>
      </c>
      <c r="M10" s="13">
        <v>44.75</v>
      </c>
      <c r="N10" s="13">
        <f t="shared" si="0"/>
        <v>84.95</v>
      </c>
      <c r="O10" s="13">
        <v>7</v>
      </c>
      <c r="P10" s="13" t="s">
        <v>27</v>
      </c>
    </row>
    <row r="11" s="2" customFormat="1" ht="70" customHeight="1" spans="1:16">
      <c r="A11" s="13">
        <v>8</v>
      </c>
      <c r="B11" s="13" t="s">
        <v>43</v>
      </c>
      <c r="C11" s="13">
        <v>2025101045</v>
      </c>
      <c r="D11" s="13" t="s">
        <v>32</v>
      </c>
      <c r="E11" s="13" t="s">
        <v>33</v>
      </c>
      <c r="F11" s="13" t="s">
        <v>44</v>
      </c>
      <c r="G11" s="14" t="s">
        <v>22</v>
      </c>
      <c r="H11" s="13" t="s">
        <v>23</v>
      </c>
      <c r="I11" s="13" t="s">
        <v>24</v>
      </c>
      <c r="J11" s="14" t="s">
        <v>25</v>
      </c>
      <c r="K11" s="13" t="s">
        <v>26</v>
      </c>
      <c r="L11" s="13">
        <v>38.8</v>
      </c>
      <c r="M11" s="13">
        <v>46</v>
      </c>
      <c r="N11" s="13">
        <f t="shared" si="0"/>
        <v>84.8</v>
      </c>
      <c r="O11" s="13">
        <v>8</v>
      </c>
      <c r="P11" s="13" t="s">
        <v>27</v>
      </c>
    </row>
    <row r="12" s="2" customFormat="1" ht="70" customHeight="1" spans="1:16">
      <c r="A12" s="13">
        <v>9</v>
      </c>
      <c r="B12" s="13" t="s">
        <v>45</v>
      </c>
      <c r="C12" s="13">
        <v>2025100853</v>
      </c>
      <c r="D12" s="13" t="s">
        <v>32</v>
      </c>
      <c r="E12" s="13" t="s">
        <v>33</v>
      </c>
      <c r="F12" s="13" t="s">
        <v>34</v>
      </c>
      <c r="G12" s="14" t="s">
        <v>22</v>
      </c>
      <c r="H12" s="13" t="s">
        <v>23</v>
      </c>
      <c r="I12" s="13" t="s">
        <v>24</v>
      </c>
      <c r="J12" s="14" t="s">
        <v>25</v>
      </c>
      <c r="K12" s="13" t="s">
        <v>26</v>
      </c>
      <c r="L12" s="13">
        <v>40.4</v>
      </c>
      <c r="M12" s="13">
        <v>43.25</v>
      </c>
      <c r="N12" s="13">
        <f t="shared" si="0"/>
        <v>83.65</v>
      </c>
      <c r="O12" s="13">
        <v>9</v>
      </c>
      <c r="P12" s="13" t="s">
        <v>27</v>
      </c>
    </row>
    <row r="13" s="2" customFormat="1" ht="70" customHeight="1" spans="1:16">
      <c r="A13" s="13">
        <v>10</v>
      </c>
      <c r="B13" s="13" t="s">
        <v>46</v>
      </c>
      <c r="C13" s="13">
        <v>2025100939</v>
      </c>
      <c r="D13" s="13" t="s">
        <v>32</v>
      </c>
      <c r="E13" s="13" t="s">
        <v>33</v>
      </c>
      <c r="F13" s="13" t="s">
        <v>42</v>
      </c>
      <c r="G13" s="14" t="s">
        <v>22</v>
      </c>
      <c r="H13" s="13" t="s">
        <v>23</v>
      </c>
      <c r="I13" s="13" t="s">
        <v>47</v>
      </c>
      <c r="J13" s="14" t="s">
        <v>25</v>
      </c>
      <c r="K13" s="13" t="s">
        <v>26</v>
      </c>
      <c r="L13" s="13">
        <v>39.2</v>
      </c>
      <c r="M13" s="13">
        <v>44</v>
      </c>
      <c r="N13" s="13">
        <f t="shared" si="0"/>
        <v>83.2</v>
      </c>
      <c r="O13" s="13">
        <v>10</v>
      </c>
      <c r="P13" s="13" t="s">
        <v>27</v>
      </c>
    </row>
    <row r="14" s="2" customFormat="1" ht="70" customHeight="1" spans="1:16">
      <c r="A14" s="13">
        <v>11</v>
      </c>
      <c r="B14" s="13" t="s">
        <v>48</v>
      </c>
      <c r="C14" s="13">
        <v>2025100989</v>
      </c>
      <c r="D14" s="13" t="s">
        <v>32</v>
      </c>
      <c r="E14" s="13" t="s">
        <v>33</v>
      </c>
      <c r="F14" s="13" t="s">
        <v>49</v>
      </c>
      <c r="G14" s="14" t="s">
        <v>22</v>
      </c>
      <c r="H14" s="13" t="s">
        <v>23</v>
      </c>
      <c r="I14" s="13" t="s">
        <v>24</v>
      </c>
      <c r="J14" s="14" t="s">
        <v>25</v>
      </c>
      <c r="K14" s="13" t="s">
        <v>26</v>
      </c>
      <c r="L14" s="13">
        <v>41.6</v>
      </c>
      <c r="M14" s="13">
        <v>40.75</v>
      </c>
      <c r="N14" s="13">
        <f t="shared" si="0"/>
        <v>82.35</v>
      </c>
      <c r="O14" s="13">
        <v>11</v>
      </c>
      <c r="P14" s="13" t="s">
        <v>27</v>
      </c>
    </row>
    <row r="15" s="2" customFormat="1" ht="70" customHeight="1" spans="1:16">
      <c r="A15" s="13">
        <v>12</v>
      </c>
      <c r="B15" s="13" t="s">
        <v>50</v>
      </c>
      <c r="C15" s="13">
        <v>2025100881</v>
      </c>
      <c r="D15" s="13" t="s">
        <v>32</v>
      </c>
      <c r="E15" s="13" t="s">
        <v>33</v>
      </c>
      <c r="F15" s="13" t="s">
        <v>51</v>
      </c>
      <c r="G15" s="14" t="s">
        <v>22</v>
      </c>
      <c r="H15" s="13" t="s">
        <v>23</v>
      </c>
      <c r="I15" s="13" t="s">
        <v>24</v>
      </c>
      <c r="J15" s="14" t="s">
        <v>25</v>
      </c>
      <c r="K15" s="13" t="s">
        <v>26</v>
      </c>
      <c r="L15" s="13">
        <v>37.2</v>
      </c>
      <c r="M15" s="13">
        <v>44.5</v>
      </c>
      <c r="N15" s="13">
        <f t="shared" si="0"/>
        <v>81.7</v>
      </c>
      <c r="O15" s="13">
        <v>12</v>
      </c>
      <c r="P15" s="13" t="s">
        <v>27</v>
      </c>
    </row>
    <row r="16" s="2" customFormat="1" ht="70" customHeight="1" spans="1:16">
      <c r="A16" s="13">
        <v>13</v>
      </c>
      <c r="B16" s="13" t="s">
        <v>52</v>
      </c>
      <c r="C16" s="13">
        <v>2025100873</v>
      </c>
      <c r="D16" s="13" t="s">
        <v>19</v>
      </c>
      <c r="E16" s="13" t="s">
        <v>33</v>
      </c>
      <c r="F16" s="13" t="s">
        <v>34</v>
      </c>
      <c r="G16" s="14" t="s">
        <v>22</v>
      </c>
      <c r="H16" s="13" t="s">
        <v>23</v>
      </c>
      <c r="I16" s="13" t="s">
        <v>24</v>
      </c>
      <c r="J16" s="14" t="s">
        <v>25</v>
      </c>
      <c r="K16" s="13" t="s">
        <v>26</v>
      </c>
      <c r="L16" s="13">
        <v>38.8</v>
      </c>
      <c r="M16" s="13">
        <v>42.75</v>
      </c>
      <c r="N16" s="13">
        <f t="shared" si="0"/>
        <v>81.55</v>
      </c>
      <c r="O16" s="13">
        <v>13</v>
      </c>
      <c r="P16" s="13" t="s">
        <v>27</v>
      </c>
    </row>
    <row r="17" s="2" customFormat="1" ht="70" customHeight="1" spans="1:16">
      <c r="A17" s="13">
        <v>14</v>
      </c>
      <c r="B17" s="13" t="s">
        <v>53</v>
      </c>
      <c r="C17" s="13">
        <v>2025100823</v>
      </c>
      <c r="D17" s="13" t="s">
        <v>32</v>
      </c>
      <c r="E17" s="13" t="s">
        <v>54</v>
      </c>
      <c r="F17" s="13" t="s">
        <v>55</v>
      </c>
      <c r="G17" s="14" t="s">
        <v>22</v>
      </c>
      <c r="H17" s="13" t="s">
        <v>23</v>
      </c>
      <c r="I17" s="13" t="s">
        <v>24</v>
      </c>
      <c r="J17" s="14" t="s">
        <v>25</v>
      </c>
      <c r="K17" s="13" t="s">
        <v>26</v>
      </c>
      <c r="L17" s="13">
        <v>38.8</v>
      </c>
      <c r="M17" s="13">
        <v>42.5</v>
      </c>
      <c r="N17" s="13">
        <f t="shared" si="0"/>
        <v>81.3</v>
      </c>
      <c r="O17" s="13">
        <v>14</v>
      </c>
      <c r="P17" s="13" t="s">
        <v>27</v>
      </c>
    </row>
    <row r="18" s="2" customFormat="1" ht="70" customHeight="1" spans="1:16">
      <c r="A18" s="13">
        <v>15</v>
      </c>
      <c r="B18" s="13" t="s">
        <v>56</v>
      </c>
      <c r="C18" s="13">
        <v>2025101062</v>
      </c>
      <c r="D18" s="13" t="s">
        <v>32</v>
      </c>
      <c r="E18" s="13" t="s">
        <v>33</v>
      </c>
      <c r="F18" s="13" t="s">
        <v>44</v>
      </c>
      <c r="G18" s="14" t="s">
        <v>22</v>
      </c>
      <c r="H18" s="13" t="s">
        <v>23</v>
      </c>
      <c r="I18" s="13" t="s">
        <v>24</v>
      </c>
      <c r="J18" s="14" t="s">
        <v>25</v>
      </c>
      <c r="K18" s="13" t="s">
        <v>26</v>
      </c>
      <c r="L18" s="13">
        <v>38.2</v>
      </c>
      <c r="M18" s="13">
        <v>43</v>
      </c>
      <c r="N18" s="13">
        <f t="shared" si="0"/>
        <v>81.2</v>
      </c>
      <c r="O18" s="13">
        <v>15</v>
      </c>
      <c r="P18" s="13" t="s">
        <v>27</v>
      </c>
    </row>
    <row r="19" s="2" customFormat="1" ht="70" customHeight="1" spans="1:16">
      <c r="A19" s="13">
        <v>16</v>
      </c>
      <c r="B19" s="13" t="s">
        <v>57</v>
      </c>
      <c r="C19" s="13">
        <v>2025100332</v>
      </c>
      <c r="D19" s="13" t="s">
        <v>32</v>
      </c>
      <c r="E19" s="13" t="s">
        <v>29</v>
      </c>
      <c r="F19" s="13" t="s">
        <v>58</v>
      </c>
      <c r="G19" s="14" t="s">
        <v>22</v>
      </c>
      <c r="H19" s="13" t="s">
        <v>23</v>
      </c>
      <c r="I19" s="13" t="s">
        <v>24</v>
      </c>
      <c r="J19" s="14" t="s">
        <v>25</v>
      </c>
      <c r="K19" s="13" t="s">
        <v>26</v>
      </c>
      <c r="L19" s="13">
        <v>38.8</v>
      </c>
      <c r="M19" s="13">
        <v>42.25</v>
      </c>
      <c r="N19" s="13">
        <f t="shared" si="0"/>
        <v>81.05</v>
      </c>
      <c r="O19" s="13">
        <v>16</v>
      </c>
      <c r="P19" s="13" t="s">
        <v>27</v>
      </c>
    </row>
    <row r="20" s="2" customFormat="1" ht="70" customHeight="1" spans="1:16">
      <c r="A20" s="13">
        <v>17</v>
      </c>
      <c r="B20" s="13" t="s">
        <v>59</v>
      </c>
      <c r="C20" s="13">
        <v>2025104077</v>
      </c>
      <c r="D20" s="13" t="s">
        <v>19</v>
      </c>
      <c r="E20" s="13" t="s">
        <v>20</v>
      </c>
      <c r="F20" s="14" t="s">
        <v>60</v>
      </c>
      <c r="G20" s="14" t="s">
        <v>22</v>
      </c>
      <c r="H20" s="13" t="s">
        <v>23</v>
      </c>
      <c r="I20" s="13" t="s">
        <v>24</v>
      </c>
      <c r="J20" s="14" t="s">
        <v>25</v>
      </c>
      <c r="K20" s="14" t="s">
        <v>26</v>
      </c>
      <c r="L20" s="13">
        <v>38.2</v>
      </c>
      <c r="M20" s="13">
        <v>42</v>
      </c>
      <c r="N20" s="13">
        <f t="shared" si="0"/>
        <v>80.2</v>
      </c>
      <c r="O20" s="13">
        <v>17</v>
      </c>
      <c r="P20" s="13" t="s">
        <v>27</v>
      </c>
    </row>
    <row r="21" s="2" customFormat="1" ht="70" customHeight="1" spans="1:16">
      <c r="A21" s="13">
        <v>18</v>
      </c>
      <c r="B21" s="13" t="s">
        <v>61</v>
      </c>
      <c r="C21" s="13">
        <v>2025100442</v>
      </c>
      <c r="D21" s="13" t="s">
        <v>32</v>
      </c>
      <c r="E21" s="13" t="s">
        <v>29</v>
      </c>
      <c r="F21" s="13" t="s">
        <v>62</v>
      </c>
      <c r="G21" s="14" t="s">
        <v>22</v>
      </c>
      <c r="H21" s="13" t="s">
        <v>23</v>
      </c>
      <c r="I21" s="13" t="s">
        <v>47</v>
      </c>
      <c r="J21" s="14" t="s">
        <v>25</v>
      </c>
      <c r="K21" s="13" t="s">
        <v>26</v>
      </c>
      <c r="L21" s="13">
        <v>32.4</v>
      </c>
      <c r="M21" s="13">
        <v>47</v>
      </c>
      <c r="N21" s="13">
        <f t="shared" si="0"/>
        <v>79.4</v>
      </c>
      <c r="O21" s="13">
        <v>18</v>
      </c>
      <c r="P21" s="13" t="s">
        <v>27</v>
      </c>
    </row>
    <row r="22" s="2" customFormat="1" ht="70" customHeight="1" spans="1:16">
      <c r="A22" s="13">
        <v>19</v>
      </c>
      <c r="B22" s="13" t="s">
        <v>63</v>
      </c>
      <c r="C22" s="13">
        <v>2025100749</v>
      </c>
      <c r="D22" s="13" t="s">
        <v>19</v>
      </c>
      <c r="E22" s="13" t="s">
        <v>54</v>
      </c>
      <c r="F22" s="13" t="s">
        <v>64</v>
      </c>
      <c r="G22" s="14" t="s">
        <v>22</v>
      </c>
      <c r="H22" s="13" t="s">
        <v>23</v>
      </c>
      <c r="I22" s="13" t="s">
        <v>24</v>
      </c>
      <c r="J22" s="14" t="s">
        <v>25</v>
      </c>
      <c r="K22" s="13" t="s">
        <v>26</v>
      </c>
      <c r="L22" s="13">
        <v>29.4</v>
      </c>
      <c r="M22" s="13">
        <v>49</v>
      </c>
      <c r="N22" s="13">
        <f t="shared" si="0"/>
        <v>78.4</v>
      </c>
      <c r="O22" s="13">
        <v>19</v>
      </c>
      <c r="P22" s="13" t="s">
        <v>27</v>
      </c>
    </row>
    <row r="23" s="2" customFormat="1" ht="70" customHeight="1" spans="1:16">
      <c r="A23" s="15">
        <v>20</v>
      </c>
      <c r="B23" s="15" t="s">
        <v>65</v>
      </c>
      <c r="C23" s="15">
        <v>2025100347</v>
      </c>
      <c r="D23" s="15" t="s">
        <v>32</v>
      </c>
      <c r="E23" s="15" t="s">
        <v>29</v>
      </c>
      <c r="F23" s="15" t="s">
        <v>58</v>
      </c>
      <c r="G23" s="16" t="s">
        <v>22</v>
      </c>
      <c r="H23" s="15" t="s">
        <v>23</v>
      </c>
      <c r="I23" s="15" t="s">
        <v>24</v>
      </c>
      <c r="J23" s="16" t="s">
        <v>25</v>
      </c>
      <c r="K23" s="15" t="s">
        <v>26</v>
      </c>
      <c r="L23" s="15">
        <v>37.2</v>
      </c>
      <c r="M23" s="15">
        <v>41</v>
      </c>
      <c r="N23" s="15">
        <f t="shared" si="0"/>
        <v>78.2</v>
      </c>
      <c r="O23" s="15">
        <v>20</v>
      </c>
      <c r="P23" s="15"/>
    </row>
    <row r="24" s="2" customFormat="1" ht="70" customHeight="1" spans="1:16">
      <c r="A24" s="15">
        <v>21</v>
      </c>
      <c r="B24" s="15" t="s">
        <v>66</v>
      </c>
      <c r="C24" s="15">
        <v>2025100943</v>
      </c>
      <c r="D24" s="15" t="s">
        <v>32</v>
      </c>
      <c r="E24" s="15" t="s">
        <v>33</v>
      </c>
      <c r="F24" s="25" t="s">
        <v>42</v>
      </c>
      <c r="G24" s="16" t="s">
        <v>22</v>
      </c>
      <c r="H24" s="15" t="s">
        <v>23</v>
      </c>
      <c r="I24" s="15" t="s">
        <v>24</v>
      </c>
      <c r="J24" s="16" t="s">
        <v>25</v>
      </c>
      <c r="K24" s="15" t="s">
        <v>26</v>
      </c>
      <c r="L24" s="15">
        <v>41.8</v>
      </c>
      <c r="M24" s="15">
        <v>36.25</v>
      </c>
      <c r="N24" s="15">
        <f t="shared" si="0"/>
        <v>78.05</v>
      </c>
      <c r="O24" s="15">
        <v>21</v>
      </c>
      <c r="P24" s="15"/>
    </row>
    <row r="25" s="2" customFormat="1" ht="70" customHeight="1" spans="1:16">
      <c r="A25" s="15">
        <v>22</v>
      </c>
      <c r="B25" s="15" t="s">
        <v>67</v>
      </c>
      <c r="C25" s="15">
        <v>2025101066</v>
      </c>
      <c r="D25" s="15" t="s">
        <v>32</v>
      </c>
      <c r="E25" s="15" t="s">
        <v>33</v>
      </c>
      <c r="F25" s="15" t="s">
        <v>44</v>
      </c>
      <c r="G25" s="16" t="s">
        <v>22</v>
      </c>
      <c r="H25" s="15" t="s">
        <v>23</v>
      </c>
      <c r="I25" s="15" t="s">
        <v>24</v>
      </c>
      <c r="J25" s="16" t="s">
        <v>25</v>
      </c>
      <c r="K25" s="15" t="s">
        <v>26</v>
      </c>
      <c r="L25" s="15">
        <v>42</v>
      </c>
      <c r="M25" s="15">
        <v>35.5</v>
      </c>
      <c r="N25" s="15">
        <f t="shared" si="0"/>
        <v>77.5</v>
      </c>
      <c r="O25" s="15">
        <v>22</v>
      </c>
      <c r="P25" s="15"/>
    </row>
    <row r="26" s="2" customFormat="1" ht="70" customHeight="1" spans="1:16">
      <c r="A26" s="15">
        <v>23</v>
      </c>
      <c r="B26" s="15" t="s">
        <v>68</v>
      </c>
      <c r="C26" s="15">
        <v>2025101120</v>
      </c>
      <c r="D26" s="15" t="s">
        <v>19</v>
      </c>
      <c r="E26" s="15" t="s">
        <v>33</v>
      </c>
      <c r="F26" s="15" t="s">
        <v>40</v>
      </c>
      <c r="G26" s="16" t="s">
        <v>22</v>
      </c>
      <c r="H26" s="15" t="s">
        <v>23</v>
      </c>
      <c r="I26" s="15" t="s">
        <v>47</v>
      </c>
      <c r="J26" s="16" t="s">
        <v>25</v>
      </c>
      <c r="K26" s="15" t="s">
        <v>26</v>
      </c>
      <c r="L26" s="15">
        <v>37</v>
      </c>
      <c r="M26" s="15">
        <v>40</v>
      </c>
      <c r="N26" s="15">
        <f t="shared" si="0"/>
        <v>77</v>
      </c>
      <c r="O26" s="15">
        <v>23</v>
      </c>
      <c r="P26" s="15"/>
    </row>
    <row r="27" s="2" customFormat="1" ht="70" customHeight="1" spans="1:16">
      <c r="A27" s="15">
        <v>24</v>
      </c>
      <c r="B27" s="15" t="s">
        <v>69</v>
      </c>
      <c r="C27" s="15">
        <v>2025100904</v>
      </c>
      <c r="D27" s="15" t="s">
        <v>32</v>
      </c>
      <c r="E27" s="15" t="s">
        <v>33</v>
      </c>
      <c r="F27" s="15" t="s">
        <v>51</v>
      </c>
      <c r="G27" s="16" t="s">
        <v>22</v>
      </c>
      <c r="H27" s="15" t="s">
        <v>23</v>
      </c>
      <c r="I27" s="15" t="s">
        <v>38</v>
      </c>
      <c r="J27" s="16" t="s">
        <v>25</v>
      </c>
      <c r="K27" s="15" t="s">
        <v>26</v>
      </c>
      <c r="L27" s="15">
        <v>37.8</v>
      </c>
      <c r="M27" s="15">
        <v>39</v>
      </c>
      <c r="N27" s="15">
        <f t="shared" si="0"/>
        <v>76.8</v>
      </c>
      <c r="O27" s="15">
        <v>24</v>
      </c>
      <c r="P27" s="15"/>
    </row>
    <row r="28" s="2" customFormat="1" ht="70" customHeight="1" spans="1:16">
      <c r="A28" s="15">
        <v>25</v>
      </c>
      <c r="B28" s="15" t="s">
        <v>70</v>
      </c>
      <c r="C28" s="15">
        <v>2025102918</v>
      </c>
      <c r="D28" s="15" t="s">
        <v>32</v>
      </c>
      <c r="E28" s="15" t="s">
        <v>71</v>
      </c>
      <c r="F28" s="15" t="s">
        <v>72</v>
      </c>
      <c r="G28" s="16" t="s">
        <v>22</v>
      </c>
      <c r="H28" s="15" t="s">
        <v>23</v>
      </c>
      <c r="I28" s="15" t="s">
        <v>38</v>
      </c>
      <c r="J28" s="16" t="s">
        <v>25</v>
      </c>
      <c r="K28" s="15" t="s">
        <v>26</v>
      </c>
      <c r="L28" s="15">
        <v>35.8</v>
      </c>
      <c r="M28" s="15">
        <v>40.75</v>
      </c>
      <c r="N28" s="15">
        <f t="shared" si="0"/>
        <v>76.55</v>
      </c>
      <c r="O28" s="15">
        <v>25</v>
      </c>
      <c r="P28" s="15"/>
    </row>
    <row r="29" s="2" customFormat="1" ht="70" customHeight="1" spans="1:16">
      <c r="A29" s="15">
        <v>26</v>
      </c>
      <c r="B29" s="15" t="s">
        <v>73</v>
      </c>
      <c r="C29" s="15">
        <v>2025102877</v>
      </c>
      <c r="D29" s="15" t="s">
        <v>32</v>
      </c>
      <c r="E29" s="15" t="s">
        <v>71</v>
      </c>
      <c r="F29" s="15" t="s">
        <v>74</v>
      </c>
      <c r="G29" s="16" t="s">
        <v>22</v>
      </c>
      <c r="H29" s="15" t="s">
        <v>23</v>
      </c>
      <c r="I29" s="15" t="s">
        <v>24</v>
      </c>
      <c r="J29" s="16" t="s">
        <v>25</v>
      </c>
      <c r="K29" s="15" t="s">
        <v>26</v>
      </c>
      <c r="L29" s="15">
        <v>38</v>
      </c>
      <c r="M29" s="15">
        <v>38.25</v>
      </c>
      <c r="N29" s="15">
        <f t="shared" si="0"/>
        <v>76.25</v>
      </c>
      <c r="O29" s="15">
        <v>26</v>
      </c>
      <c r="P29" s="15"/>
    </row>
    <row r="30" s="2" customFormat="1" ht="70" customHeight="1" spans="1:16">
      <c r="A30" s="15">
        <v>27</v>
      </c>
      <c r="B30" s="15" t="s">
        <v>75</v>
      </c>
      <c r="C30" s="15">
        <v>2025103942</v>
      </c>
      <c r="D30" s="15" t="s">
        <v>32</v>
      </c>
      <c r="E30" s="15" t="s">
        <v>20</v>
      </c>
      <c r="F30" s="15" t="s">
        <v>76</v>
      </c>
      <c r="G30" s="16" t="s">
        <v>22</v>
      </c>
      <c r="H30" s="15" t="s">
        <v>23</v>
      </c>
      <c r="I30" s="15" t="s">
        <v>24</v>
      </c>
      <c r="J30" s="16" t="s">
        <v>25</v>
      </c>
      <c r="K30" s="15" t="s">
        <v>26</v>
      </c>
      <c r="L30" s="15">
        <v>38.2</v>
      </c>
      <c r="M30" s="15">
        <v>37.25</v>
      </c>
      <c r="N30" s="15">
        <f t="shared" si="0"/>
        <v>75.45</v>
      </c>
      <c r="O30" s="15">
        <v>27</v>
      </c>
      <c r="P30" s="15"/>
    </row>
    <row r="31" s="2" customFormat="1" ht="70" customHeight="1" spans="1:16">
      <c r="A31" s="15">
        <v>28</v>
      </c>
      <c r="B31" s="15" t="s">
        <v>77</v>
      </c>
      <c r="C31" s="15">
        <v>2025100952</v>
      </c>
      <c r="D31" s="15" t="s">
        <v>32</v>
      </c>
      <c r="E31" s="15" t="s">
        <v>33</v>
      </c>
      <c r="F31" s="15" t="s">
        <v>78</v>
      </c>
      <c r="G31" s="16" t="s">
        <v>22</v>
      </c>
      <c r="H31" s="15" t="s">
        <v>23</v>
      </c>
      <c r="I31" s="15" t="s">
        <v>24</v>
      </c>
      <c r="J31" s="16" t="s">
        <v>25</v>
      </c>
      <c r="K31" s="15" t="s">
        <v>26</v>
      </c>
      <c r="L31" s="15">
        <v>33.2</v>
      </c>
      <c r="M31" s="15">
        <v>41.75</v>
      </c>
      <c r="N31" s="15">
        <f t="shared" si="0"/>
        <v>74.95</v>
      </c>
      <c r="O31" s="15">
        <v>28</v>
      </c>
      <c r="P31" s="15"/>
    </row>
    <row r="32" s="2" customFormat="1" ht="70" customHeight="1" spans="1:16">
      <c r="A32" s="15">
        <v>29</v>
      </c>
      <c r="B32" s="15" t="s">
        <v>79</v>
      </c>
      <c r="C32" s="15">
        <v>2025100604</v>
      </c>
      <c r="D32" s="15" t="s">
        <v>32</v>
      </c>
      <c r="E32" s="15" t="s">
        <v>54</v>
      </c>
      <c r="F32" s="15" t="s">
        <v>80</v>
      </c>
      <c r="G32" s="16" t="s">
        <v>22</v>
      </c>
      <c r="H32" s="15" t="s">
        <v>23</v>
      </c>
      <c r="I32" s="15" t="s">
        <v>24</v>
      </c>
      <c r="J32" s="16" t="s">
        <v>25</v>
      </c>
      <c r="K32" s="15" t="s">
        <v>26</v>
      </c>
      <c r="L32" s="15">
        <v>32.6</v>
      </c>
      <c r="M32" s="15">
        <v>42.25</v>
      </c>
      <c r="N32" s="15">
        <f t="shared" si="0"/>
        <v>74.85</v>
      </c>
      <c r="O32" s="15">
        <v>29</v>
      </c>
      <c r="P32" s="15"/>
    </row>
    <row r="33" s="2" customFormat="1" ht="70" customHeight="1" spans="1:16">
      <c r="A33" s="15">
        <v>30</v>
      </c>
      <c r="B33" s="15" t="s">
        <v>81</v>
      </c>
      <c r="C33" s="15">
        <v>2025100771</v>
      </c>
      <c r="D33" s="15" t="s">
        <v>32</v>
      </c>
      <c r="E33" s="15" t="s">
        <v>54</v>
      </c>
      <c r="F33" s="15" t="s">
        <v>82</v>
      </c>
      <c r="G33" s="16" t="s">
        <v>22</v>
      </c>
      <c r="H33" s="15" t="s">
        <v>23</v>
      </c>
      <c r="I33" s="15" t="s">
        <v>24</v>
      </c>
      <c r="J33" s="16" t="s">
        <v>25</v>
      </c>
      <c r="K33" s="15" t="s">
        <v>26</v>
      </c>
      <c r="L33" s="15">
        <v>32.4</v>
      </c>
      <c r="M33" s="15">
        <v>42</v>
      </c>
      <c r="N33" s="15">
        <f t="shared" si="0"/>
        <v>74.4</v>
      </c>
      <c r="O33" s="15">
        <v>30</v>
      </c>
      <c r="P33" s="15"/>
    </row>
    <row r="34" s="2" customFormat="1" ht="70" customHeight="1" spans="1:16">
      <c r="A34" s="15">
        <v>31</v>
      </c>
      <c r="B34" s="15" t="s">
        <v>83</v>
      </c>
      <c r="C34" s="15">
        <v>2025100626</v>
      </c>
      <c r="D34" s="15" t="s">
        <v>32</v>
      </c>
      <c r="E34" s="15" t="s">
        <v>54</v>
      </c>
      <c r="F34" s="15" t="s">
        <v>80</v>
      </c>
      <c r="G34" s="16" t="s">
        <v>22</v>
      </c>
      <c r="H34" s="15" t="s">
        <v>23</v>
      </c>
      <c r="I34" s="15" t="s">
        <v>24</v>
      </c>
      <c r="J34" s="16" t="s">
        <v>25</v>
      </c>
      <c r="K34" s="15" t="s">
        <v>26</v>
      </c>
      <c r="L34" s="15">
        <v>32.8</v>
      </c>
      <c r="M34" s="15">
        <v>40.5</v>
      </c>
      <c r="N34" s="15">
        <f t="shared" si="0"/>
        <v>73.3</v>
      </c>
      <c r="O34" s="15">
        <v>31</v>
      </c>
      <c r="P34" s="15"/>
    </row>
    <row r="35" s="2" customFormat="1" ht="70" customHeight="1" spans="1:16">
      <c r="A35" s="15">
        <v>32</v>
      </c>
      <c r="B35" s="15" t="s">
        <v>84</v>
      </c>
      <c r="C35" s="15">
        <v>2025100108</v>
      </c>
      <c r="D35" s="15" t="s">
        <v>32</v>
      </c>
      <c r="E35" s="15" t="s">
        <v>29</v>
      </c>
      <c r="F35" s="15" t="s">
        <v>85</v>
      </c>
      <c r="G35" s="16" t="s">
        <v>22</v>
      </c>
      <c r="H35" s="15" t="s">
        <v>23</v>
      </c>
      <c r="I35" s="15" t="s">
        <v>38</v>
      </c>
      <c r="J35" s="16" t="s">
        <v>25</v>
      </c>
      <c r="K35" s="15" t="s">
        <v>26</v>
      </c>
      <c r="L35" s="15">
        <v>27.6</v>
      </c>
      <c r="M35" s="15">
        <v>45.25</v>
      </c>
      <c r="N35" s="15">
        <f t="shared" si="0"/>
        <v>72.85</v>
      </c>
      <c r="O35" s="15">
        <v>32</v>
      </c>
      <c r="P35" s="15"/>
    </row>
    <row r="36" s="2" customFormat="1" ht="70" customHeight="1" spans="1:16">
      <c r="A36" s="15">
        <v>33</v>
      </c>
      <c r="B36" s="15" t="s">
        <v>86</v>
      </c>
      <c r="C36" s="15">
        <v>2025100449</v>
      </c>
      <c r="D36" s="15" t="s">
        <v>32</v>
      </c>
      <c r="E36" s="15" t="s">
        <v>29</v>
      </c>
      <c r="F36" s="15" t="s">
        <v>62</v>
      </c>
      <c r="G36" s="16" t="s">
        <v>22</v>
      </c>
      <c r="H36" s="15" t="s">
        <v>23</v>
      </c>
      <c r="I36" s="15" t="s">
        <v>24</v>
      </c>
      <c r="J36" s="16" t="s">
        <v>25</v>
      </c>
      <c r="K36" s="15" t="s">
        <v>26</v>
      </c>
      <c r="L36" s="15">
        <v>32.6</v>
      </c>
      <c r="M36" s="15">
        <v>39.75</v>
      </c>
      <c r="N36" s="15">
        <f t="shared" si="0"/>
        <v>72.35</v>
      </c>
      <c r="O36" s="15">
        <v>33</v>
      </c>
      <c r="P36" s="15"/>
    </row>
    <row r="37" s="2" customFormat="1" ht="70" customHeight="1" spans="1:16">
      <c r="A37" s="15">
        <v>34</v>
      </c>
      <c r="B37" s="15" t="s">
        <v>87</v>
      </c>
      <c r="C37" s="15">
        <v>2025100444</v>
      </c>
      <c r="D37" s="15" t="s">
        <v>32</v>
      </c>
      <c r="E37" s="15" t="s">
        <v>29</v>
      </c>
      <c r="F37" s="15" t="s">
        <v>62</v>
      </c>
      <c r="G37" s="16" t="s">
        <v>22</v>
      </c>
      <c r="H37" s="15" t="s">
        <v>23</v>
      </c>
      <c r="I37" s="15" t="s">
        <v>24</v>
      </c>
      <c r="J37" s="16" t="s">
        <v>25</v>
      </c>
      <c r="K37" s="15" t="s">
        <v>26</v>
      </c>
      <c r="L37" s="15">
        <v>31.8</v>
      </c>
      <c r="M37" s="15">
        <v>39.75</v>
      </c>
      <c r="N37" s="15">
        <f t="shared" si="0"/>
        <v>71.55</v>
      </c>
      <c r="O37" s="15">
        <v>34</v>
      </c>
      <c r="P37" s="15"/>
    </row>
    <row r="38" s="2" customFormat="1" ht="70" customHeight="1" spans="1:16">
      <c r="A38" s="15">
        <v>35</v>
      </c>
      <c r="B38" s="15" t="s">
        <v>88</v>
      </c>
      <c r="C38" s="15">
        <v>2025100462</v>
      </c>
      <c r="D38" s="15" t="s">
        <v>32</v>
      </c>
      <c r="E38" s="15" t="s">
        <v>29</v>
      </c>
      <c r="F38" s="15" t="s">
        <v>62</v>
      </c>
      <c r="G38" s="16" t="s">
        <v>22</v>
      </c>
      <c r="H38" s="15" t="s">
        <v>23</v>
      </c>
      <c r="I38" s="15" t="s">
        <v>24</v>
      </c>
      <c r="J38" s="16" t="s">
        <v>25</v>
      </c>
      <c r="K38" s="15" t="s">
        <v>26</v>
      </c>
      <c r="L38" s="15">
        <v>29.4</v>
      </c>
      <c r="M38" s="15">
        <v>40.25</v>
      </c>
      <c r="N38" s="15">
        <f t="shared" si="0"/>
        <v>69.65</v>
      </c>
      <c r="O38" s="15">
        <v>35</v>
      </c>
      <c r="P38" s="15"/>
    </row>
    <row r="39" s="2" customFormat="1" ht="70" customHeight="1" spans="1:16">
      <c r="A39" s="15">
        <v>36</v>
      </c>
      <c r="B39" s="15" t="s">
        <v>89</v>
      </c>
      <c r="C39" s="15">
        <v>2025101018</v>
      </c>
      <c r="D39" s="15" t="s">
        <v>32</v>
      </c>
      <c r="E39" s="15" t="s">
        <v>33</v>
      </c>
      <c r="F39" s="15" t="s">
        <v>37</v>
      </c>
      <c r="G39" s="16" t="s">
        <v>22</v>
      </c>
      <c r="H39" s="15" t="s">
        <v>23</v>
      </c>
      <c r="I39" s="15" t="s">
        <v>47</v>
      </c>
      <c r="J39" s="16" t="s">
        <v>25</v>
      </c>
      <c r="K39" s="15" t="s">
        <v>26</v>
      </c>
      <c r="L39" s="15">
        <v>27.8</v>
      </c>
      <c r="M39" s="15">
        <v>39.25</v>
      </c>
      <c r="N39" s="15">
        <f t="shared" si="0"/>
        <v>67.05</v>
      </c>
      <c r="O39" s="15">
        <v>36</v>
      </c>
      <c r="P39" s="15"/>
    </row>
    <row r="40" s="2" customFormat="1" ht="70" customHeight="1" spans="1:16">
      <c r="A40" s="15">
        <v>37</v>
      </c>
      <c r="B40" s="15" t="s">
        <v>90</v>
      </c>
      <c r="C40" s="15">
        <v>2025101530</v>
      </c>
      <c r="D40" s="15" t="s">
        <v>32</v>
      </c>
      <c r="E40" s="15" t="s">
        <v>25</v>
      </c>
      <c r="F40" s="16" t="s">
        <v>91</v>
      </c>
      <c r="G40" s="16" t="s">
        <v>22</v>
      </c>
      <c r="H40" s="15" t="s">
        <v>23</v>
      </c>
      <c r="I40" s="15" t="s">
        <v>24</v>
      </c>
      <c r="J40" s="16" t="s">
        <v>25</v>
      </c>
      <c r="K40" s="16" t="s">
        <v>26</v>
      </c>
      <c r="L40" s="15">
        <v>27.8</v>
      </c>
      <c r="M40" s="15">
        <v>38</v>
      </c>
      <c r="N40" s="15">
        <f t="shared" si="0"/>
        <v>65.8</v>
      </c>
      <c r="O40" s="15">
        <v>37</v>
      </c>
      <c r="P40" s="15"/>
    </row>
    <row r="41" s="2" customFormat="1" ht="70" customHeight="1" spans="1:16">
      <c r="A41" s="15">
        <v>38</v>
      </c>
      <c r="B41" s="15" t="s">
        <v>92</v>
      </c>
      <c r="C41" s="15">
        <v>2025101109</v>
      </c>
      <c r="D41" s="15" t="s">
        <v>19</v>
      </c>
      <c r="E41" s="15" t="s">
        <v>33</v>
      </c>
      <c r="F41" s="15" t="s">
        <v>40</v>
      </c>
      <c r="G41" s="16" t="s">
        <v>22</v>
      </c>
      <c r="H41" s="15" t="s">
        <v>23</v>
      </c>
      <c r="I41" s="15" t="s">
        <v>24</v>
      </c>
      <c r="J41" s="16" t="s">
        <v>25</v>
      </c>
      <c r="K41" s="15" t="s">
        <v>26</v>
      </c>
      <c r="L41" s="15">
        <v>25.8</v>
      </c>
      <c r="M41" s="15">
        <v>39.25</v>
      </c>
      <c r="N41" s="15">
        <f t="shared" si="0"/>
        <v>65.05</v>
      </c>
      <c r="O41" s="15">
        <v>38</v>
      </c>
      <c r="P41" s="15"/>
    </row>
    <row r="42" s="2" customFormat="1" ht="70" customHeight="1" spans="1:16">
      <c r="A42" s="15">
        <v>39</v>
      </c>
      <c r="B42" s="15" t="s">
        <v>93</v>
      </c>
      <c r="C42" s="15">
        <v>2025100887</v>
      </c>
      <c r="D42" s="15" t="s">
        <v>32</v>
      </c>
      <c r="E42" s="15" t="s">
        <v>33</v>
      </c>
      <c r="F42" s="15" t="s">
        <v>51</v>
      </c>
      <c r="G42" s="16" t="s">
        <v>22</v>
      </c>
      <c r="H42" s="15" t="s">
        <v>23</v>
      </c>
      <c r="I42" s="15" t="s">
        <v>24</v>
      </c>
      <c r="J42" s="16" t="s">
        <v>25</v>
      </c>
      <c r="K42" s="15" t="s">
        <v>26</v>
      </c>
      <c r="L42" s="15">
        <v>24.6</v>
      </c>
      <c r="M42" s="15">
        <v>37</v>
      </c>
      <c r="N42" s="15">
        <f t="shared" si="0"/>
        <v>61.6</v>
      </c>
      <c r="O42" s="15">
        <v>39</v>
      </c>
      <c r="P42" s="15"/>
    </row>
    <row r="43" s="2" customFormat="1" ht="70" customHeight="1" spans="1:16">
      <c r="A43" s="15">
        <v>40</v>
      </c>
      <c r="B43" s="15" t="s">
        <v>94</v>
      </c>
      <c r="C43" s="15">
        <v>2025100738</v>
      </c>
      <c r="D43" s="15" t="s">
        <v>32</v>
      </c>
      <c r="E43" s="15" t="s">
        <v>54</v>
      </c>
      <c r="F43" s="15" t="s">
        <v>64</v>
      </c>
      <c r="G43" s="16" t="s">
        <v>22</v>
      </c>
      <c r="H43" s="15" t="s">
        <v>23</v>
      </c>
      <c r="I43" s="15" t="s">
        <v>24</v>
      </c>
      <c r="J43" s="16" t="s">
        <v>25</v>
      </c>
      <c r="K43" s="15" t="s">
        <v>26</v>
      </c>
      <c r="L43" s="15">
        <v>22.8</v>
      </c>
      <c r="M43" s="15">
        <v>35.5</v>
      </c>
      <c r="N43" s="15">
        <f t="shared" si="0"/>
        <v>58.3</v>
      </c>
      <c r="O43" s="15">
        <v>40</v>
      </c>
      <c r="P43" s="15"/>
    </row>
    <row r="44" s="2" customFormat="1" ht="70" customHeight="1" spans="1:16">
      <c r="A44" s="15">
        <v>41</v>
      </c>
      <c r="B44" s="15" t="s">
        <v>95</v>
      </c>
      <c r="C44" s="15">
        <v>2025100888</v>
      </c>
      <c r="D44" s="15" t="s">
        <v>32</v>
      </c>
      <c r="E44" s="15" t="s">
        <v>33</v>
      </c>
      <c r="F44" s="15" t="s">
        <v>51</v>
      </c>
      <c r="G44" s="16" t="s">
        <v>22</v>
      </c>
      <c r="H44" s="15" t="s">
        <v>23</v>
      </c>
      <c r="I44" s="15" t="s">
        <v>24</v>
      </c>
      <c r="J44" s="16" t="s">
        <v>25</v>
      </c>
      <c r="K44" s="15" t="s">
        <v>26</v>
      </c>
      <c r="L44" s="15">
        <v>20.2</v>
      </c>
      <c r="M44" s="15">
        <v>36</v>
      </c>
      <c r="N44" s="15">
        <f t="shared" si="0"/>
        <v>56.2</v>
      </c>
      <c r="O44" s="15">
        <v>41</v>
      </c>
      <c r="P44" s="15"/>
    </row>
    <row r="45" s="2" customFormat="1" ht="70" customHeight="1" spans="1:16">
      <c r="A45" s="15">
        <v>42</v>
      </c>
      <c r="B45" s="15" t="s">
        <v>96</v>
      </c>
      <c r="C45" s="15">
        <v>2025103664</v>
      </c>
      <c r="D45" s="15" t="s">
        <v>32</v>
      </c>
      <c r="E45" s="15" t="s">
        <v>97</v>
      </c>
      <c r="F45" s="15" t="s">
        <v>98</v>
      </c>
      <c r="G45" s="16" t="s">
        <v>22</v>
      </c>
      <c r="H45" s="15" t="s">
        <v>23</v>
      </c>
      <c r="I45" s="15" t="s">
        <v>38</v>
      </c>
      <c r="J45" s="16" t="s">
        <v>25</v>
      </c>
      <c r="K45" s="15" t="s">
        <v>26</v>
      </c>
      <c r="L45" s="15">
        <v>19.4</v>
      </c>
      <c r="M45" s="15">
        <v>36.25</v>
      </c>
      <c r="N45" s="15">
        <f t="shared" si="0"/>
        <v>55.65</v>
      </c>
      <c r="O45" s="15">
        <v>42</v>
      </c>
      <c r="P45" s="15"/>
    </row>
    <row r="46" s="2" customFormat="1" ht="70" customHeight="1" spans="1:16">
      <c r="A46" s="15">
        <v>43</v>
      </c>
      <c r="B46" s="15" t="s">
        <v>99</v>
      </c>
      <c r="C46" s="15">
        <v>2025100987</v>
      </c>
      <c r="D46" s="15" t="s">
        <v>32</v>
      </c>
      <c r="E46" s="15" t="s">
        <v>33</v>
      </c>
      <c r="F46" s="15" t="s">
        <v>100</v>
      </c>
      <c r="G46" s="16" t="s">
        <v>22</v>
      </c>
      <c r="H46" s="15" t="s">
        <v>23</v>
      </c>
      <c r="I46" s="15" t="s">
        <v>24</v>
      </c>
      <c r="J46" s="16" t="s">
        <v>25</v>
      </c>
      <c r="K46" s="15" t="s">
        <v>26</v>
      </c>
      <c r="L46" s="15">
        <v>11.4</v>
      </c>
      <c r="M46" s="15">
        <v>38.75</v>
      </c>
      <c r="N46" s="15">
        <f t="shared" si="0"/>
        <v>50.15</v>
      </c>
      <c r="O46" s="15">
        <v>43</v>
      </c>
      <c r="P46" s="15"/>
    </row>
    <row r="47" s="2" customFormat="1" ht="70" customHeight="1" spans="1:16">
      <c r="A47" s="15">
        <v>44</v>
      </c>
      <c r="B47" s="15" t="s">
        <v>101</v>
      </c>
      <c r="C47" s="15">
        <v>2025100121</v>
      </c>
      <c r="D47" s="15" t="s">
        <v>32</v>
      </c>
      <c r="E47" s="15" t="s">
        <v>29</v>
      </c>
      <c r="F47" s="15" t="s">
        <v>30</v>
      </c>
      <c r="G47" s="16" t="s">
        <v>22</v>
      </c>
      <c r="H47" s="15" t="s">
        <v>23</v>
      </c>
      <c r="I47" s="15" t="s">
        <v>24</v>
      </c>
      <c r="J47" s="16" t="s">
        <v>25</v>
      </c>
      <c r="K47" s="15" t="s">
        <v>26</v>
      </c>
      <c r="L47" s="15">
        <v>23.6</v>
      </c>
      <c r="M47" s="15" t="s">
        <v>102</v>
      </c>
      <c r="N47" s="15">
        <f t="shared" si="0"/>
        <v>23.6</v>
      </c>
      <c r="O47" s="15">
        <v>44</v>
      </c>
      <c r="P47" s="15"/>
    </row>
    <row r="48" s="2" customFormat="1" ht="70" customHeight="1" spans="1:16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9"/>
    </row>
    <row r="49" s="2" customFormat="1" ht="70" customHeight="1" spans="1:17">
      <c r="A49" s="13">
        <v>1</v>
      </c>
      <c r="B49" s="13" t="s">
        <v>103</v>
      </c>
      <c r="C49" s="13">
        <v>2024101591</v>
      </c>
      <c r="D49" s="13" t="s">
        <v>19</v>
      </c>
      <c r="E49" s="13" t="s">
        <v>25</v>
      </c>
      <c r="F49" s="14" t="s">
        <v>104</v>
      </c>
      <c r="G49" s="14" t="s">
        <v>22</v>
      </c>
      <c r="H49" s="13" t="s">
        <v>23</v>
      </c>
      <c r="I49" s="13" t="s">
        <v>24</v>
      </c>
      <c r="J49" s="14" t="s">
        <v>25</v>
      </c>
      <c r="K49" s="14" t="s">
        <v>26</v>
      </c>
      <c r="L49" s="13">
        <v>45.6</v>
      </c>
      <c r="M49" s="13">
        <v>45</v>
      </c>
      <c r="N49" s="13">
        <f>SUM(L49,M49)</f>
        <v>90.6</v>
      </c>
      <c r="O49" s="13">
        <v>1</v>
      </c>
      <c r="P49" s="13" t="s">
        <v>27</v>
      </c>
    </row>
    <row r="50" s="2" customFormat="1" ht="70" customHeight="1" spans="1:17">
      <c r="A50" s="13">
        <v>2</v>
      </c>
      <c r="B50" s="13" t="s">
        <v>105</v>
      </c>
      <c r="C50" s="13">
        <v>2024101104</v>
      </c>
      <c r="D50" s="13" t="s">
        <v>32</v>
      </c>
      <c r="E50" s="13" t="s">
        <v>33</v>
      </c>
      <c r="F50" s="13" t="s">
        <v>106</v>
      </c>
      <c r="G50" s="14" t="s">
        <v>22</v>
      </c>
      <c r="H50" s="13" t="s">
        <v>23</v>
      </c>
      <c r="I50" s="13" t="s">
        <v>24</v>
      </c>
      <c r="J50" s="14" t="s">
        <v>25</v>
      </c>
      <c r="K50" s="13" t="s">
        <v>26</v>
      </c>
      <c r="L50" s="13">
        <v>32.17</v>
      </c>
      <c r="M50" s="13">
        <v>41.25</v>
      </c>
      <c r="N50" s="13">
        <f>SUM(L50,M50)</f>
        <v>73.42</v>
      </c>
      <c r="O50" s="13">
        <v>2</v>
      </c>
      <c r="P50" s="13" t="s">
        <v>27</v>
      </c>
    </row>
    <row r="51" s="2" customFormat="1" ht="70" customHeight="1" spans="1:17">
      <c r="A51" s="13">
        <v>3</v>
      </c>
      <c r="B51" s="13" t="s">
        <v>107</v>
      </c>
      <c r="C51" s="13">
        <v>2024100412</v>
      </c>
      <c r="D51" s="13" t="s">
        <v>32</v>
      </c>
      <c r="E51" s="13" t="s">
        <v>29</v>
      </c>
      <c r="F51" s="13" t="s">
        <v>108</v>
      </c>
      <c r="G51" s="14" t="s">
        <v>22</v>
      </c>
      <c r="H51" s="13" t="s">
        <v>23</v>
      </c>
      <c r="I51" s="13" t="s">
        <v>24</v>
      </c>
      <c r="J51" s="14" t="s">
        <v>25</v>
      </c>
      <c r="K51" s="13" t="s">
        <v>26</v>
      </c>
      <c r="L51" s="13">
        <v>29.2</v>
      </c>
      <c r="M51" s="13">
        <v>43.25</v>
      </c>
      <c r="N51" s="13">
        <f>SUM(L51,M51)</f>
        <v>72.45</v>
      </c>
      <c r="O51" s="13">
        <v>3</v>
      </c>
      <c r="P51" s="13" t="s">
        <v>27</v>
      </c>
    </row>
    <row r="52" s="2" customFormat="1" ht="70" customHeight="1" spans="1:17">
      <c r="A52" s="15">
        <v>4</v>
      </c>
      <c r="B52" s="15" t="s">
        <v>109</v>
      </c>
      <c r="C52" s="15">
        <v>2024100869</v>
      </c>
      <c r="D52" s="15" t="s">
        <v>32</v>
      </c>
      <c r="E52" s="15" t="s">
        <v>33</v>
      </c>
      <c r="F52" s="15" t="s">
        <v>110</v>
      </c>
      <c r="G52" s="16" t="s">
        <v>22</v>
      </c>
      <c r="H52" s="15" t="s">
        <v>23</v>
      </c>
      <c r="I52" s="15" t="s">
        <v>24</v>
      </c>
      <c r="J52" s="16" t="s">
        <v>25</v>
      </c>
      <c r="K52" s="15" t="s">
        <v>26</v>
      </c>
      <c r="L52" s="15">
        <v>15.2</v>
      </c>
      <c r="M52" s="15">
        <v>36.25</v>
      </c>
      <c r="N52" s="15">
        <f>SUM(L52,M52)</f>
        <v>51.45</v>
      </c>
      <c r="O52" s="15">
        <v>4</v>
      </c>
      <c r="P52" s="15"/>
    </row>
    <row r="53" s="3" customFormat="1" ht="70" customHeight="1" spans="1:17">
      <c r="A53" s="20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2"/>
    </row>
    <row r="54" s="3" customFormat="1" ht="70" customHeight="1" spans="1:17">
      <c r="A54" s="23">
        <v>1</v>
      </c>
      <c r="B54" s="14" t="s">
        <v>111</v>
      </c>
      <c r="C54" s="23">
        <v>2025100594</v>
      </c>
      <c r="D54" s="14" t="s">
        <v>19</v>
      </c>
      <c r="E54" s="14" t="s">
        <v>54</v>
      </c>
      <c r="F54" s="14" t="s">
        <v>112</v>
      </c>
      <c r="G54" s="14" t="s">
        <v>22</v>
      </c>
      <c r="H54" s="14" t="s">
        <v>23</v>
      </c>
      <c r="I54" s="14" t="s">
        <v>47</v>
      </c>
      <c r="J54" s="14" t="s">
        <v>25</v>
      </c>
      <c r="K54" s="14" t="s">
        <v>113</v>
      </c>
      <c r="L54" s="14">
        <v>47.2</v>
      </c>
      <c r="M54" s="14">
        <v>44.4</v>
      </c>
      <c r="N54" s="13">
        <v>91.6</v>
      </c>
      <c r="O54" s="13">
        <v>1</v>
      </c>
      <c r="P54" s="14" t="s">
        <v>27</v>
      </c>
    </row>
    <row r="55" s="3" customFormat="1" ht="70" customHeight="1" spans="1:17">
      <c r="A55" s="13">
        <v>2</v>
      </c>
      <c r="B55" s="13" t="s">
        <v>114</v>
      </c>
      <c r="C55" s="13">
        <v>2025101002</v>
      </c>
      <c r="D55" s="13" t="s">
        <v>32</v>
      </c>
      <c r="E55" s="13" t="s">
        <v>33</v>
      </c>
      <c r="F55" s="13" t="s">
        <v>37</v>
      </c>
      <c r="G55" s="13" t="s">
        <v>22</v>
      </c>
      <c r="H55" s="13" t="s">
        <v>23</v>
      </c>
      <c r="I55" s="13" t="s">
        <v>24</v>
      </c>
      <c r="J55" s="13" t="s">
        <v>25</v>
      </c>
      <c r="K55" s="13" t="s">
        <v>113</v>
      </c>
      <c r="L55" s="13">
        <v>42.6</v>
      </c>
      <c r="M55" s="13">
        <v>43.4</v>
      </c>
      <c r="N55" s="13">
        <v>86</v>
      </c>
      <c r="O55" s="13">
        <v>2</v>
      </c>
      <c r="P55" s="14" t="s">
        <v>27</v>
      </c>
    </row>
    <row r="56" s="3" customFormat="1" ht="70" customHeight="1" spans="1:17">
      <c r="A56" s="13">
        <v>3</v>
      </c>
      <c r="B56" s="13" t="s">
        <v>115</v>
      </c>
      <c r="C56" s="13">
        <v>2025100542</v>
      </c>
      <c r="D56" s="13" t="s">
        <v>32</v>
      </c>
      <c r="E56" s="13" t="s">
        <v>33</v>
      </c>
      <c r="F56" s="13" t="s">
        <v>42</v>
      </c>
      <c r="G56" s="13" t="s">
        <v>22</v>
      </c>
      <c r="H56" s="13" t="s">
        <v>23</v>
      </c>
      <c r="I56" s="13" t="s">
        <v>38</v>
      </c>
      <c r="J56" s="13" t="s">
        <v>25</v>
      </c>
      <c r="K56" s="13" t="s">
        <v>113</v>
      </c>
      <c r="L56" s="13">
        <v>40.2</v>
      </c>
      <c r="M56" s="13">
        <v>41.8</v>
      </c>
      <c r="N56" s="13">
        <v>82</v>
      </c>
      <c r="O56" s="13">
        <v>3</v>
      </c>
      <c r="P56" s="14" t="s">
        <v>27</v>
      </c>
    </row>
    <row r="57" s="3" customFormat="1" ht="70" customHeight="1" spans="1:17">
      <c r="A57" s="13">
        <v>4</v>
      </c>
      <c r="B57" s="13" t="s">
        <v>116</v>
      </c>
      <c r="C57" s="13">
        <v>2025101168</v>
      </c>
      <c r="D57" s="13" t="s">
        <v>32</v>
      </c>
      <c r="E57" s="13" t="s">
        <v>33</v>
      </c>
      <c r="F57" s="13" t="s">
        <v>117</v>
      </c>
      <c r="G57" s="13" t="s">
        <v>22</v>
      </c>
      <c r="H57" s="13" t="s">
        <v>23</v>
      </c>
      <c r="I57" s="13" t="s">
        <v>24</v>
      </c>
      <c r="J57" s="13" t="s">
        <v>25</v>
      </c>
      <c r="K57" s="13" t="s">
        <v>113</v>
      </c>
      <c r="L57" s="13">
        <v>40.2</v>
      </c>
      <c r="M57" s="13">
        <v>45.4</v>
      </c>
      <c r="N57" s="13">
        <v>85.6</v>
      </c>
      <c r="O57" s="13">
        <v>4</v>
      </c>
      <c r="P57" s="14" t="s">
        <v>27</v>
      </c>
    </row>
    <row r="58" s="3" customFormat="1" ht="70" customHeight="1" spans="1:17">
      <c r="A58" s="13">
        <v>5</v>
      </c>
      <c r="B58" s="13" t="s">
        <v>118</v>
      </c>
      <c r="C58" s="13">
        <v>2025101151</v>
      </c>
      <c r="D58" s="13" t="s">
        <v>19</v>
      </c>
      <c r="E58" s="13" t="s">
        <v>33</v>
      </c>
      <c r="F58" s="13" t="s">
        <v>119</v>
      </c>
      <c r="G58" s="13" t="s">
        <v>22</v>
      </c>
      <c r="H58" s="13" t="s">
        <v>23</v>
      </c>
      <c r="I58" s="13" t="s">
        <v>24</v>
      </c>
      <c r="J58" s="13" t="s">
        <v>25</v>
      </c>
      <c r="K58" s="13" t="s">
        <v>113</v>
      </c>
      <c r="L58" s="13">
        <v>28.2</v>
      </c>
      <c r="M58" s="13">
        <v>42.2</v>
      </c>
      <c r="N58" s="13">
        <v>70.4</v>
      </c>
      <c r="O58" s="13">
        <v>5</v>
      </c>
      <c r="P58" s="14" t="s">
        <v>27</v>
      </c>
    </row>
    <row r="59" s="3" customFormat="1" ht="70" customHeight="1" spans="1:17">
      <c r="A59" s="13">
        <v>6</v>
      </c>
      <c r="B59" s="13" t="s">
        <v>120</v>
      </c>
      <c r="C59" s="13">
        <v>2025100907</v>
      </c>
      <c r="D59" s="13" t="s">
        <v>32</v>
      </c>
      <c r="E59" s="13" t="s">
        <v>33</v>
      </c>
      <c r="F59" s="13" t="s">
        <v>51</v>
      </c>
      <c r="G59" s="13" t="s">
        <v>22</v>
      </c>
      <c r="H59" s="13" t="s">
        <v>23</v>
      </c>
      <c r="I59" s="13" t="s">
        <v>38</v>
      </c>
      <c r="J59" s="13" t="s">
        <v>25</v>
      </c>
      <c r="K59" s="13" t="s">
        <v>113</v>
      </c>
      <c r="L59" s="13">
        <v>27.4</v>
      </c>
      <c r="M59" s="13">
        <v>43</v>
      </c>
      <c r="N59" s="13">
        <v>70.4</v>
      </c>
      <c r="O59" s="13">
        <v>5</v>
      </c>
      <c r="P59" s="14" t="s">
        <v>27</v>
      </c>
    </row>
    <row r="60" s="3" customFormat="1" ht="70" customHeight="1" spans="1:17">
      <c r="A60" s="15">
        <v>7</v>
      </c>
      <c r="B60" s="15" t="s">
        <v>121</v>
      </c>
      <c r="C60" s="15">
        <v>2025101199</v>
      </c>
      <c r="D60" s="15" t="s">
        <v>19</v>
      </c>
      <c r="E60" s="15" t="s">
        <v>33</v>
      </c>
      <c r="F60" s="15" t="s">
        <v>117</v>
      </c>
      <c r="G60" s="15" t="s">
        <v>22</v>
      </c>
      <c r="H60" s="15" t="s">
        <v>23</v>
      </c>
      <c r="I60" s="15" t="s">
        <v>24</v>
      </c>
      <c r="J60" s="15" t="s">
        <v>25</v>
      </c>
      <c r="K60" s="15" t="s">
        <v>113</v>
      </c>
      <c r="L60" s="15">
        <v>10</v>
      </c>
      <c r="M60" s="15">
        <v>38.4</v>
      </c>
      <c r="N60" s="15">
        <v>48.4</v>
      </c>
      <c r="O60" s="15">
        <v>6</v>
      </c>
      <c r="P60" s="15"/>
    </row>
    <row r="61" s="3" customFormat="1" ht="70" customHeight="1" spans="1:17">
      <c r="A61" s="20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2"/>
    </row>
    <row r="62" s="4" customFormat="1" ht="70" customHeight="1" spans="1:17">
      <c r="A62" s="13">
        <v>1</v>
      </c>
      <c r="B62" s="13" t="s">
        <v>122</v>
      </c>
      <c r="C62" s="13">
        <v>2024101224</v>
      </c>
      <c r="D62" s="13" t="s">
        <v>19</v>
      </c>
      <c r="E62" s="13" t="s">
        <v>33</v>
      </c>
      <c r="F62" s="13" t="s">
        <v>123</v>
      </c>
      <c r="G62" s="13" t="s">
        <v>124</v>
      </c>
      <c r="H62" s="13" t="s">
        <v>125</v>
      </c>
      <c r="I62" s="13" t="s">
        <v>126</v>
      </c>
      <c r="J62" s="13" t="s">
        <v>25</v>
      </c>
      <c r="K62" s="13" t="s">
        <v>113</v>
      </c>
      <c r="L62" s="13">
        <v>37.8</v>
      </c>
      <c r="M62" s="13">
        <v>43.6</v>
      </c>
      <c r="N62" s="13">
        <v>81.4</v>
      </c>
      <c r="O62" s="13">
        <v>1</v>
      </c>
      <c r="P62" s="13" t="s">
        <v>27</v>
      </c>
      <c r="Q62" s="24"/>
    </row>
    <row r="63" s="4" customFormat="1" ht="70" customHeight="1" spans="1:17">
      <c r="A63" s="15">
        <v>2</v>
      </c>
      <c r="B63" s="15" t="s">
        <v>127</v>
      </c>
      <c r="C63" s="15">
        <v>2024100934</v>
      </c>
      <c r="D63" s="15" t="s">
        <v>32</v>
      </c>
      <c r="E63" s="15" t="s">
        <v>33</v>
      </c>
      <c r="F63" s="15" t="s">
        <v>128</v>
      </c>
      <c r="G63" s="15" t="s">
        <v>22</v>
      </c>
      <c r="H63" s="15" t="s">
        <v>23</v>
      </c>
      <c r="I63" s="15" t="s">
        <v>24</v>
      </c>
      <c r="J63" s="15" t="s">
        <v>25</v>
      </c>
      <c r="K63" s="15" t="s">
        <v>113</v>
      </c>
      <c r="L63" s="15">
        <v>16.2</v>
      </c>
      <c r="M63" s="15">
        <v>38.2</v>
      </c>
      <c r="N63" s="15">
        <v>54.4</v>
      </c>
      <c r="O63" s="15">
        <v>2</v>
      </c>
      <c r="P63" s="15"/>
      <c r="Q63" s="24"/>
    </row>
    <row r="64" s="4" customFormat="1" ht="70" customHeight="1" spans="1:17">
      <c r="A64" s="15">
        <v>3</v>
      </c>
      <c r="B64" s="15" t="s">
        <v>129</v>
      </c>
      <c r="C64" s="15">
        <v>2024100949</v>
      </c>
      <c r="D64" s="15" t="s">
        <v>19</v>
      </c>
      <c r="E64" s="15" t="s">
        <v>33</v>
      </c>
      <c r="F64" s="15" t="s">
        <v>128</v>
      </c>
      <c r="G64" s="15" t="s">
        <v>22</v>
      </c>
      <c r="H64" s="15" t="s">
        <v>23</v>
      </c>
      <c r="I64" s="15" t="s">
        <v>47</v>
      </c>
      <c r="J64" s="15" t="s">
        <v>25</v>
      </c>
      <c r="K64" s="15" t="s">
        <v>113</v>
      </c>
      <c r="L64" s="15">
        <v>12.2</v>
      </c>
      <c r="M64" s="15">
        <v>39.2</v>
      </c>
      <c r="N64" s="15">
        <v>51.4</v>
      </c>
      <c r="O64" s="15">
        <v>3</v>
      </c>
      <c r="P64" s="15"/>
      <c r="Q64" s="24"/>
    </row>
    <row r="65" s="3" customFormat="1" ht="70" customHeight="1" spans="1:17">
      <c r="A65" s="20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2"/>
    </row>
    <row r="66" s="4" customFormat="1" ht="70" customHeight="1" spans="1:17">
      <c r="A66" s="13">
        <v>1</v>
      </c>
      <c r="B66" s="13" t="s">
        <v>130</v>
      </c>
      <c r="C66" s="13">
        <v>2025100373</v>
      </c>
      <c r="D66" s="13" t="s">
        <v>32</v>
      </c>
      <c r="E66" s="13" t="s">
        <v>29</v>
      </c>
      <c r="F66" s="13" t="s">
        <v>131</v>
      </c>
      <c r="G66" s="13" t="s">
        <v>22</v>
      </c>
      <c r="H66" s="13" t="s">
        <v>23</v>
      </c>
      <c r="I66" s="13" t="s">
        <v>24</v>
      </c>
      <c r="J66" s="13" t="s">
        <v>25</v>
      </c>
      <c r="K66" s="13" t="s">
        <v>132</v>
      </c>
      <c r="L66" s="13">
        <v>37.4</v>
      </c>
      <c r="M66" s="13">
        <v>43</v>
      </c>
      <c r="N66" s="13">
        <v>80.4</v>
      </c>
      <c r="O66" s="13">
        <v>1</v>
      </c>
      <c r="P66" s="13" t="s">
        <v>27</v>
      </c>
      <c r="Q66" s="24"/>
    </row>
    <row r="67" s="4" customFormat="1" ht="70" customHeight="1" spans="1:17">
      <c r="A67" s="13">
        <v>2</v>
      </c>
      <c r="B67" s="13" t="s">
        <v>133</v>
      </c>
      <c r="C67" s="13">
        <v>2025102876</v>
      </c>
      <c r="D67" s="13" t="s">
        <v>32</v>
      </c>
      <c r="E67" s="13" t="s">
        <v>71</v>
      </c>
      <c r="F67" s="13" t="s">
        <v>74</v>
      </c>
      <c r="G67" s="13" t="s">
        <v>22</v>
      </c>
      <c r="H67" s="13" t="s">
        <v>23</v>
      </c>
      <c r="I67" s="13" t="s">
        <v>134</v>
      </c>
      <c r="J67" s="13" t="s">
        <v>25</v>
      </c>
      <c r="K67" s="13" t="s">
        <v>132</v>
      </c>
      <c r="L67" s="13">
        <v>29.8</v>
      </c>
      <c r="M67" s="13">
        <v>40.8</v>
      </c>
      <c r="N67" s="13">
        <v>70.6</v>
      </c>
      <c r="O67" s="13">
        <v>2</v>
      </c>
      <c r="P67" s="13" t="s">
        <v>27</v>
      </c>
      <c r="Q67" s="24"/>
    </row>
    <row r="68" s="4" customFormat="1" ht="70" customHeight="1" spans="1:17">
      <c r="A68" s="13">
        <v>3</v>
      </c>
      <c r="B68" s="13" t="s">
        <v>135</v>
      </c>
      <c r="C68" s="13">
        <v>2025101136</v>
      </c>
      <c r="D68" s="13" t="s">
        <v>32</v>
      </c>
      <c r="E68" s="13" t="s">
        <v>33</v>
      </c>
      <c r="F68" s="13" t="s">
        <v>119</v>
      </c>
      <c r="G68" s="13" t="s">
        <v>22</v>
      </c>
      <c r="H68" s="13" t="s">
        <v>23</v>
      </c>
      <c r="I68" s="13" t="s">
        <v>134</v>
      </c>
      <c r="J68" s="13" t="s">
        <v>25</v>
      </c>
      <c r="K68" s="13" t="s">
        <v>132</v>
      </c>
      <c r="L68" s="13">
        <v>28.8</v>
      </c>
      <c r="M68" s="13">
        <v>44.8</v>
      </c>
      <c r="N68" s="13">
        <v>73.6</v>
      </c>
      <c r="O68" s="13">
        <v>3</v>
      </c>
      <c r="P68" s="13" t="s">
        <v>27</v>
      </c>
      <c r="Q68" s="24"/>
    </row>
    <row r="69" s="4" customFormat="1" ht="70" customHeight="1" spans="1:17">
      <c r="A69" s="13">
        <v>4</v>
      </c>
      <c r="B69" s="13" t="s">
        <v>136</v>
      </c>
      <c r="C69" s="13">
        <v>2025100686</v>
      </c>
      <c r="D69" s="13" t="s">
        <v>32</v>
      </c>
      <c r="E69" s="13" t="s">
        <v>54</v>
      </c>
      <c r="F69" s="13" t="s">
        <v>137</v>
      </c>
      <c r="G69" s="13" t="s">
        <v>22</v>
      </c>
      <c r="H69" s="13" t="s">
        <v>23</v>
      </c>
      <c r="I69" s="13" t="s">
        <v>134</v>
      </c>
      <c r="J69" s="13" t="s">
        <v>25</v>
      </c>
      <c r="K69" s="13" t="s">
        <v>132</v>
      </c>
      <c r="L69" s="13">
        <v>27.4</v>
      </c>
      <c r="M69" s="13">
        <v>43.2</v>
      </c>
      <c r="N69" s="13">
        <v>70.6</v>
      </c>
      <c r="O69" s="13">
        <v>4</v>
      </c>
      <c r="P69" s="13" t="s">
        <v>27</v>
      </c>
      <c r="Q69" s="24"/>
    </row>
    <row r="70" s="4" customFormat="1" ht="70" customHeight="1" spans="1:17">
      <c r="A70" s="13">
        <v>5</v>
      </c>
      <c r="B70" s="13" t="s">
        <v>138</v>
      </c>
      <c r="C70" s="13">
        <v>2025101141</v>
      </c>
      <c r="D70" s="13" t="s">
        <v>32</v>
      </c>
      <c r="E70" s="13" t="s">
        <v>33</v>
      </c>
      <c r="F70" s="13" t="s">
        <v>119</v>
      </c>
      <c r="G70" s="13" t="s">
        <v>22</v>
      </c>
      <c r="H70" s="13" t="s">
        <v>23</v>
      </c>
      <c r="I70" s="13" t="s">
        <v>134</v>
      </c>
      <c r="J70" s="13" t="s">
        <v>25</v>
      </c>
      <c r="K70" s="13" t="s">
        <v>132</v>
      </c>
      <c r="L70" s="13">
        <v>25</v>
      </c>
      <c r="M70" s="13">
        <v>45.4</v>
      </c>
      <c r="N70" s="13">
        <v>70.4</v>
      </c>
      <c r="O70" s="13">
        <v>5</v>
      </c>
      <c r="P70" s="13" t="s">
        <v>27</v>
      </c>
      <c r="Q70" s="24"/>
    </row>
    <row r="71" s="4" customFormat="1" ht="70" customHeight="1" spans="1:17">
      <c r="A71" s="15">
        <v>6</v>
      </c>
      <c r="B71" s="15" t="s">
        <v>139</v>
      </c>
      <c r="C71" s="15">
        <v>2025101145</v>
      </c>
      <c r="D71" s="15" t="s">
        <v>32</v>
      </c>
      <c r="E71" s="15" t="s">
        <v>33</v>
      </c>
      <c r="F71" s="15" t="s">
        <v>119</v>
      </c>
      <c r="G71" s="15" t="s">
        <v>22</v>
      </c>
      <c r="H71" s="15" t="s">
        <v>23</v>
      </c>
      <c r="I71" s="15" t="s">
        <v>140</v>
      </c>
      <c r="J71" s="15" t="s">
        <v>25</v>
      </c>
      <c r="K71" s="15" t="s">
        <v>132</v>
      </c>
      <c r="L71" s="15">
        <v>15</v>
      </c>
      <c r="M71" s="15">
        <v>38.6</v>
      </c>
      <c r="N71" s="15">
        <v>53.6</v>
      </c>
      <c r="O71" s="15">
        <v>6</v>
      </c>
      <c r="P71" s="15"/>
      <c r="Q71" s="24"/>
    </row>
    <row r="72" s="4" customFormat="1" ht="70" customHeight="1" spans="1:17">
      <c r="A72" s="15">
        <v>7</v>
      </c>
      <c r="B72" s="15" t="s">
        <v>141</v>
      </c>
      <c r="C72" s="15">
        <v>2025100845</v>
      </c>
      <c r="D72" s="15" t="s">
        <v>32</v>
      </c>
      <c r="E72" s="15" t="s">
        <v>33</v>
      </c>
      <c r="F72" s="15" t="s">
        <v>34</v>
      </c>
      <c r="G72" s="15" t="s">
        <v>22</v>
      </c>
      <c r="H72" s="15" t="s">
        <v>23</v>
      </c>
      <c r="I72" s="15" t="s">
        <v>38</v>
      </c>
      <c r="J72" s="15" t="s">
        <v>25</v>
      </c>
      <c r="K72" s="15" t="s">
        <v>132</v>
      </c>
      <c r="L72" s="15">
        <v>13.6</v>
      </c>
      <c r="M72" s="15">
        <v>39.6</v>
      </c>
      <c r="N72" s="15">
        <v>53.2</v>
      </c>
      <c r="O72" s="15">
        <v>7</v>
      </c>
      <c r="P72" s="15"/>
      <c r="Q72" s="24"/>
    </row>
    <row r="73" s="4" customFormat="1" ht="70" customHeight="1" spans="1:17">
      <c r="A73" s="15">
        <v>8</v>
      </c>
      <c r="B73" s="15" t="s">
        <v>142</v>
      </c>
      <c r="C73" s="15">
        <v>2025101146</v>
      </c>
      <c r="D73" s="15" t="s">
        <v>32</v>
      </c>
      <c r="E73" s="15" t="s">
        <v>33</v>
      </c>
      <c r="F73" s="15" t="s">
        <v>119</v>
      </c>
      <c r="G73" s="15" t="s">
        <v>22</v>
      </c>
      <c r="H73" s="15" t="s">
        <v>23</v>
      </c>
      <c r="I73" s="15" t="s">
        <v>134</v>
      </c>
      <c r="J73" s="15" t="s">
        <v>25</v>
      </c>
      <c r="K73" s="15" t="s">
        <v>132</v>
      </c>
      <c r="L73" s="15">
        <v>13.4</v>
      </c>
      <c r="M73" s="15">
        <v>39.8</v>
      </c>
      <c r="N73" s="15">
        <v>53.2</v>
      </c>
      <c r="O73" s="15">
        <v>8</v>
      </c>
      <c r="P73" s="15"/>
      <c r="Q73" s="24"/>
    </row>
    <row r="74" s="4" customFormat="1" ht="70" customHeight="1" spans="1:17">
      <c r="A74" s="15">
        <v>9</v>
      </c>
      <c r="B74" s="15" t="s">
        <v>143</v>
      </c>
      <c r="C74" s="15">
        <v>2025101153</v>
      </c>
      <c r="D74" s="15" t="s">
        <v>19</v>
      </c>
      <c r="E74" s="15" t="s">
        <v>33</v>
      </c>
      <c r="F74" s="15" t="s">
        <v>119</v>
      </c>
      <c r="G74" s="15" t="s">
        <v>22</v>
      </c>
      <c r="H74" s="15" t="s">
        <v>23</v>
      </c>
      <c r="I74" s="15" t="s">
        <v>134</v>
      </c>
      <c r="J74" s="15" t="s">
        <v>25</v>
      </c>
      <c r="K74" s="15" t="s">
        <v>132</v>
      </c>
      <c r="L74" s="15">
        <v>11</v>
      </c>
      <c r="M74" s="15">
        <v>39</v>
      </c>
      <c r="N74" s="15">
        <v>50</v>
      </c>
      <c r="O74" s="15">
        <v>9</v>
      </c>
      <c r="P74" s="15"/>
      <c r="Q74" s="24"/>
    </row>
    <row r="75" s="4" customFormat="1" ht="70" customHeight="1" spans="1:17">
      <c r="A75" s="15">
        <v>10</v>
      </c>
      <c r="B75" s="15" t="s">
        <v>144</v>
      </c>
      <c r="C75" s="15">
        <v>2025100722</v>
      </c>
      <c r="D75" s="15" t="s">
        <v>32</v>
      </c>
      <c r="E75" s="15" t="s">
        <v>54</v>
      </c>
      <c r="F75" s="15" t="s">
        <v>64</v>
      </c>
      <c r="G75" s="15" t="s">
        <v>22</v>
      </c>
      <c r="H75" s="15" t="s">
        <v>23</v>
      </c>
      <c r="I75" s="15" t="s">
        <v>134</v>
      </c>
      <c r="J75" s="15" t="s">
        <v>25</v>
      </c>
      <c r="K75" s="15" t="s">
        <v>132</v>
      </c>
      <c r="L75" s="15">
        <v>8.00000000000001</v>
      </c>
      <c r="M75" s="15">
        <v>39.4</v>
      </c>
      <c r="N75" s="15">
        <v>47.4</v>
      </c>
      <c r="O75" s="15">
        <v>10</v>
      </c>
      <c r="P75" s="15"/>
      <c r="Q75" s="24"/>
    </row>
  </sheetData>
  <autoFilter xmlns:etc="http://www.wps.cn/officeDocument/2017/etCustomData" ref="A1:P47" etc:filterBottomFollowUsedRange="0">
    <extLst/>
  </autoFilter>
  <mergeCells count="20">
    <mergeCell ref="A1:P1"/>
    <mergeCell ref="N2:O2"/>
    <mergeCell ref="A48:P48"/>
    <mergeCell ref="A53:P53"/>
    <mergeCell ref="A61:P61"/>
    <mergeCell ref="A65:P65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P2:P3"/>
  </mergeCells>
  <dataValidations count="1">
    <dataValidation type="list" allowBlank="1" showInputMessage="1" showErrorMessage="1" sqref="G2:G3">
      <formula1>"综合改革模式,非综合改革模式"</formula1>
    </dataValidation>
  </dataValidations>
  <pageMargins left="0.75" right="0.75" top="1" bottom="1" header="0.5" footer="0.5"/>
  <pageSetup paperSize="9" scale="19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WWO_wpscloud_20240902233131-dd4a30072f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机制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leediiaa</cp:lastModifiedBy>
  <dcterms:created xsi:type="dcterms:W3CDTF">1996-12-17T09:32:00Z</dcterms:created>
  <dcterms:modified xsi:type="dcterms:W3CDTF">2026-05-26T08:17:56Z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8590B876786C4AFEB2BC197D55B9C129_13</vt:lpwstr>
  </property>
  <property fmtid="{D5CDD505-2E9C-101B-9397-08002B2CF9AE}" pid="4" name="CalculationRule">
    <vt:i4>0</vt:i4>
  </property>
</Properties>
</file>